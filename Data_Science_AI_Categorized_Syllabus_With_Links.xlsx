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hematics &amp; Stats" sheetId="1" state="visible" r:id="rId1"/>
    <sheet xmlns:r="http://schemas.openxmlformats.org/officeDocument/2006/relationships" name="Python Programming" sheetId="2" state="visible" r:id="rId2"/>
    <sheet xmlns:r="http://schemas.openxmlformats.org/officeDocument/2006/relationships" name="Power BI" sheetId="3" state="visible" r:id="rId3"/>
    <sheet xmlns:r="http://schemas.openxmlformats.org/officeDocument/2006/relationships" name="Machine Learning" sheetId="4" state="visible" r:id="rId4"/>
    <sheet xmlns:r="http://schemas.openxmlformats.org/officeDocument/2006/relationships" name="Reinforcement Learning" sheetId="5" state="visible" r:id="rId5"/>
    <sheet xmlns:r="http://schemas.openxmlformats.org/officeDocument/2006/relationships" name="Deep Learning" sheetId="6" state="visible" r:id="rId6"/>
    <sheet xmlns:r="http://schemas.openxmlformats.org/officeDocument/2006/relationships" name="Generative A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000000"/>
      <sz val="11"/>
    </font>
    <font>
      <name val="Segoe UI"/>
      <color rgb="000563C1"/>
      <sz val="11"/>
      <u val="single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5282"/>
        <bgColor rgb="002C5282"/>
      </patternFill>
    </fill>
    <fill>
      <patternFill patternType="solid">
        <fgColor rgb="00F7FAFC"/>
        <bgColor rgb="00F7FAFC"/>
      </patternFill>
    </fill>
    <fill>
      <patternFill patternType="solid">
        <fgColor rgb="00EBF8FF"/>
        <bgColor rgb="00EBF8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55" customWidth="1" min="4" max="4"/>
    <col width="55" customWidth="1" min="5" max="5"/>
    <col width="27" customWidth="1" min="6" max="6"/>
    <col width="27" customWidth="1" min="7" max="7"/>
  </cols>
  <sheetData>
    <row r="1" ht="40" customHeight="1">
      <c r="A1" s="1" t="inlineStr">
        <is>
          <t>Mathematics &amp; Statistics Blueprint (Days 1 - 14)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</t>
        </is>
      </c>
      <c r="D3" s="2" t="inlineStr">
        <is>
          <t>Core Focus Areas</t>
        </is>
      </c>
      <c r="E3" s="2" t="inlineStr">
        <is>
          <t>Hands-on Exercise</t>
        </is>
      </c>
      <c r="F3" s="2" t="inlineStr">
        <is>
          <t>Documentation Link</t>
        </is>
      </c>
      <c r="G3" s="2" t="inlineStr">
        <is>
          <t>YouTube Link</t>
        </is>
      </c>
    </row>
    <row r="4" ht="35" customHeight="1">
      <c r="A4" s="3" t="inlineStr">
        <is>
          <t>Day 01</t>
        </is>
      </c>
      <c r="B4" s="4" t="inlineStr">
        <is>
          <t>Week 1</t>
        </is>
      </c>
      <c r="C4" s="5" t="inlineStr">
        <is>
          <t>Linear Algebra Foundations</t>
        </is>
      </c>
      <c r="D4" s="5" t="inlineStr">
        <is>
          <t>Vectors spaces, operations, dot products, vector geometry</t>
        </is>
      </c>
      <c r="E4" s="5" t="inlineStr">
        <is>
          <t>Implement manual dot product vectors using base Python loops</t>
        </is>
      </c>
      <c r="F4" s="6">
        <f>HYPERLINK("https://www.khanacademy.org/math/linear-algebra", "Khan Academy Linear Algebra")</f>
        <v/>
      </c>
      <c r="G4" s="6">
        <f>HYPERLINK("https://www.youtube.com/playlist?list=PLZHQObOWTQDPD3MizzM2xVFitgF8hE_ab", "3Blue1Brown Vectors Tutorial")</f>
        <v/>
      </c>
    </row>
    <row r="5" ht="35" customHeight="1">
      <c r="A5" s="7" t="inlineStr">
        <is>
          <t>Day 02</t>
        </is>
      </c>
      <c r="B5" s="8" t="inlineStr">
        <is>
          <t>Week 1</t>
        </is>
      </c>
      <c r="C5" s="9" t="inlineStr">
        <is>
          <t>Matrix Multiplication</t>
        </is>
      </c>
      <c r="D5" s="9" t="inlineStr">
        <is>
          <t>Matrix dimensions, cross-multiplication laws, identity matrices, properties</t>
        </is>
      </c>
      <c r="E5" s="9" t="inlineStr">
        <is>
          <t>Multiply 3x3 matrices by hand, verify using simple arrays</t>
        </is>
      </c>
      <c r="F5" s="10">
        <f>HYPERLINK("https://www.khanacademy.org/math/linear-algebra", "Khan Academy Linear Algebra")</f>
        <v/>
      </c>
      <c r="G5" s="10">
        <f>HYPERLINK("https://www.youtube.com/watch?v=XkY2DOUCWMU", "3Blue1Brown Matrix Multiplication")</f>
        <v/>
      </c>
    </row>
    <row r="6" ht="35" customHeight="1">
      <c r="A6" s="3" t="inlineStr">
        <is>
          <t>Day 03</t>
        </is>
      </c>
      <c r="B6" s="4" t="inlineStr">
        <is>
          <t>Week 1</t>
        </is>
      </c>
      <c r="C6" s="5" t="inlineStr">
        <is>
          <t>Determinants &amp; Inverses</t>
        </is>
      </c>
      <c r="D6" s="5" t="inlineStr">
        <is>
          <t>Calculating structural determinants, matrix inversion, systems of linear equations (Ax = b)</t>
        </is>
      </c>
      <c r="E6" s="5" t="inlineStr">
        <is>
          <t>Solve simultaneous user equations using Cramer's rule</t>
        </is>
      </c>
      <c r="F6" s="6">
        <f>HYPERLINK("https://www.khanacademy.org/math/linear-algebra", "Khan Academy Linear Algebra")</f>
        <v/>
      </c>
      <c r="G6" s="6">
        <f>HYPERLINK("https://www.youtube.com/watch?v=Ip3X97O45DU", "3Blue1Brown Determinants")</f>
        <v/>
      </c>
    </row>
    <row r="7" ht="35" customHeight="1">
      <c r="A7" s="7" t="inlineStr">
        <is>
          <t>Day 04</t>
        </is>
      </c>
      <c r="B7" s="8" t="inlineStr">
        <is>
          <t>Week 1</t>
        </is>
      </c>
      <c r="C7" s="9" t="inlineStr">
        <is>
          <t>Eigenvalues &amp; Eigenvectors</t>
        </is>
      </c>
      <c r="D7" s="9" t="inlineStr">
        <is>
          <t>Geometric vector transformations, characteristic equations, applications</t>
        </is>
      </c>
      <c r="E7" s="9" t="inlineStr">
        <is>
          <t>Manually decompose 2x2 matrices into eigen-components</t>
        </is>
      </c>
      <c r="F7" s="10">
        <f>HYPERLINK("https://www.khanacademy.org/math/linear-algebra", "Khan Academy Linear Algebra")</f>
        <v/>
      </c>
      <c r="G7" s="10">
        <f>HYPERLINK("https://www.youtube.com/watch?v=PFDu9oVAE-g", "3Blue1Brown Eigenvectors")</f>
        <v/>
      </c>
    </row>
    <row r="8" ht="35" customHeight="1">
      <c r="A8" s="3" t="inlineStr">
        <is>
          <t>Day 05</t>
        </is>
      </c>
      <c r="B8" s="4" t="inlineStr">
        <is>
          <t>Week 1</t>
        </is>
      </c>
      <c r="C8" s="5" t="inlineStr">
        <is>
          <t>Calculus: Derivatives</t>
        </is>
      </c>
      <c r="D8" s="5" t="inlineStr">
        <is>
          <t>Limits, functions, fundamental derivatives, slopes, rate of change calculations</t>
        </is>
      </c>
      <c r="E8" s="5" t="inlineStr">
        <is>
          <t>Differentiate key polynomial equations by hand</t>
        </is>
      </c>
      <c r="F8" s="6">
        <f>HYPERLINK("https://www.khanacademy.org/math/multivariable-calculus", "Khan Academy Calculus")</f>
        <v/>
      </c>
      <c r="G8" s="6">
        <f>HYPERLINK("https://www.youtube.com/playlist?list=PLZHQObOWTQDMsr9K-rj53DwVRMYO3t5Yr", "3Blue1Brown Essence of Calculus")</f>
        <v/>
      </c>
    </row>
    <row r="9" ht="35" customHeight="1">
      <c r="A9" s="7" t="inlineStr">
        <is>
          <t>Day 06</t>
        </is>
      </c>
      <c r="B9" s="8" t="inlineStr">
        <is>
          <t>Week 1</t>
        </is>
      </c>
      <c r="C9" s="9" t="inlineStr">
        <is>
          <t>Partial Derivatives &amp; Chain Rule</t>
        </is>
      </c>
      <c r="D9" s="9" t="inlineStr">
        <is>
          <t>Multivariable functions, partial gradients, tracking independent multivariate parameters</t>
        </is>
      </c>
      <c r="E9" s="9" t="inlineStr">
        <is>
          <t>Compute partial gradients of structural network error calculations</t>
        </is>
      </c>
      <c r="F9" s="10">
        <f>HYPERLINK("https://www.khanacademy.org/math/multivariable-calculus", "Khan Academy Multivariable")</f>
        <v/>
      </c>
      <c r="G9" s="10">
        <f>HYPERLINK("https://www.youtube.com/watch?v=IHZwWFHWa-w", "3Blue1Brown Partial Derivatives")</f>
        <v/>
      </c>
    </row>
    <row r="10" ht="35" customHeight="1">
      <c r="A10" s="3" t="inlineStr">
        <is>
          <t>Day 07</t>
        </is>
      </c>
      <c r="B10" s="4" t="inlineStr">
        <is>
          <t>Week 1</t>
        </is>
      </c>
      <c r="C10" s="11" t="inlineStr">
        <is>
          <t>Project: Gradient Descent</t>
        </is>
      </c>
      <c r="D10" s="5" t="inlineStr">
        <is>
          <t>Local/global minima, learning rates, gradient updates (w &lt;- w - alpha * gradient)</t>
        </is>
      </c>
      <c r="E10" s="11" t="inlineStr">
        <is>
          <t>Project: Build Gradient Descent Optimization Solver from Scratch</t>
        </is>
      </c>
      <c r="F10" s="6">
        <f>HYPERLINK("https://www.khanacademy.org/math/multivariable-calculus", "Khan Academy Optimization")</f>
        <v/>
      </c>
      <c r="G10" s="6">
        <f>HYPERLINK("https://www.youtube.com/watch?v=IHZwWFHWa-w", "StatQuest Gradient Descent")</f>
        <v/>
      </c>
    </row>
    <row r="11" ht="35" customHeight="1">
      <c r="A11" s="7" t="inlineStr">
        <is>
          <t>Day 08</t>
        </is>
      </c>
      <c r="B11" s="8" t="inlineStr">
        <is>
          <t>Week 2</t>
        </is>
      </c>
      <c r="C11" s="9" t="inlineStr">
        <is>
          <t>Descriptive Statistics</t>
        </is>
      </c>
      <c r="D11" s="9" t="inlineStr">
        <is>
          <t>Mean, median, mode, variance, standard deviation, skewness, kurtosis</t>
        </is>
      </c>
      <c r="E11" s="9" t="inlineStr">
        <is>
          <t>Generate statistical summary report of raw numeric records</t>
        </is>
      </c>
      <c r="F11" s="10">
        <f>HYPERLINK("https://openstax.org/books/introductory-statistics/pages/1-introduction", "OpenStax Intro Stats")</f>
        <v/>
      </c>
      <c r="G11" s="10">
        <f>HYPERLINK("https://www.youtube.com/playlist?list=PLblh5JKOoLUK0FLuzwntyYy10UQWRLvLk", "StatQuest Statistics Basics")</f>
        <v/>
      </c>
    </row>
    <row r="12" ht="35" customHeight="1">
      <c r="A12" s="3" t="inlineStr">
        <is>
          <t>Day 09</t>
        </is>
      </c>
      <c r="B12" s="4" t="inlineStr">
        <is>
          <t>Week 2</t>
        </is>
      </c>
      <c r="C12" s="5" t="inlineStr">
        <is>
          <t>Probability Foundations</t>
        </is>
      </c>
      <c r="D12" s="5" t="inlineStr">
        <is>
          <t>Sample space, independent events, conditional probability, marginals, Bayes' Theorem</t>
        </is>
      </c>
      <c r="E12" s="5" t="inlineStr">
        <is>
          <t>Calculate real-world testing diagnostic probabilities via Bayes rule</t>
        </is>
      </c>
      <c r="F12" s="6">
        <f>HYPERLINK("https://openstax.org/books/introductory-statistics/pages/3-introduction", "OpenStax Probability")</f>
        <v/>
      </c>
      <c r="G12" s="6">
        <f>HYPERLINK("https://www.youtube.com/watch?v=HZGCoVF3YvM", "StatQuest Bayes Theorem")</f>
        <v/>
      </c>
    </row>
    <row r="13" ht="35" customHeight="1">
      <c r="A13" s="7" t="inlineStr">
        <is>
          <t>Day 10</t>
        </is>
      </c>
      <c r="B13" s="8" t="inlineStr">
        <is>
          <t>Week 2</t>
        </is>
      </c>
      <c r="C13" s="9" t="inlineStr">
        <is>
          <t>Probability Distributions</t>
        </is>
      </c>
      <c r="D13" s="9" t="inlineStr">
        <is>
          <t>Discrete vs continuous metrics, Binomial, Poisson, Gaussian Normal distribution shapes</t>
        </is>
      </c>
      <c r="E13" s="9" t="inlineStr">
        <is>
          <t>Map custom user registration counts to matching distributions</t>
        </is>
      </c>
      <c r="F13" s="10">
        <f>HYPERLINK("https://openstax.org/books/introductory-statistics/pages/4-introduction", "OpenStax Distributions")</f>
        <v/>
      </c>
      <c r="G13" s="10">
        <f>HYPERLINK("https://www.youtube.com/watch?v=fXOS4Q37lS4", "StatQuest Normal Distribution")</f>
        <v/>
      </c>
    </row>
    <row r="14" ht="35" customHeight="1">
      <c r="A14" s="3" t="inlineStr">
        <is>
          <t>Day 11</t>
        </is>
      </c>
      <c r="B14" s="4" t="inlineStr">
        <is>
          <t>Week 2</t>
        </is>
      </c>
      <c r="C14" s="5" t="inlineStr">
        <is>
          <t>Sampling &amp; Central Limit Theorem</t>
        </is>
      </c>
      <c r="D14" s="5" t="inlineStr">
        <is>
          <t>Sampling distributions, population parameters, Central Limit Theorem (CLT) behaviors</t>
        </is>
      </c>
      <c r="E14" s="5" t="inlineStr">
        <is>
          <t>Simulate standard error reduction patterns via random sample iterations</t>
        </is>
      </c>
      <c r="F14" s="6">
        <f>HYPERLINK("https://openstax.org/books/introductory-statistics/pages/7-introduction", "OpenStax Central Limit Theorem")</f>
        <v/>
      </c>
      <c r="G14" s="6">
        <f>HYPERLINK("https://www.youtube.com/watch?v=YAlJCEDH2uY", "StatQuest Central Limit Theorem")</f>
        <v/>
      </c>
    </row>
    <row r="15" ht="35" customHeight="1">
      <c r="A15" s="7" t="inlineStr">
        <is>
          <t>Day 12</t>
        </is>
      </c>
      <c r="B15" s="8" t="inlineStr">
        <is>
          <t>Week 2</t>
        </is>
      </c>
      <c r="C15" s="9" t="inlineStr">
        <is>
          <t>Confidence Intervals</t>
        </is>
      </c>
      <c r="D15" s="9" t="inlineStr">
        <is>
          <t>Point estimators, standard error windows, confidence bounds calculation</t>
        </is>
      </c>
      <c r="E15" s="9" t="inlineStr">
        <is>
          <t>Establish 95% certainty boundaries on random sample user lists</t>
        </is>
      </c>
      <c r="F15" s="10">
        <f>HYPERLINK("https://openstax.org/books/introductory-statistics/pages/8-introduction", "OpenStax Confidence Intervals")</f>
        <v/>
      </c>
      <c r="G15" s="10">
        <f>HYPERLINK("https://www.youtube.com/watch?v=TqOeMYtOc1w", "StatQuest Confidence Intervals")</f>
        <v/>
      </c>
    </row>
    <row r="16" ht="35" customHeight="1">
      <c r="A16" s="3" t="inlineStr">
        <is>
          <t>Day 13</t>
        </is>
      </c>
      <c r="B16" s="4" t="inlineStr">
        <is>
          <t>Week 2</t>
        </is>
      </c>
      <c r="C16" s="5" t="inlineStr">
        <is>
          <t>Hypothesis Testing Basics</t>
        </is>
      </c>
      <c r="D16" s="5" t="inlineStr">
        <is>
          <t>Null (H0) vs Alternative (Ha) setups, alpha significance limits, p-values, errors</t>
        </is>
      </c>
      <c r="E16" s="5" t="inlineStr">
        <is>
          <t>Formulate full hypothesis tests for drug/feature trial outcomes</t>
        </is>
      </c>
      <c r="F16" s="6">
        <f>HYPERLINK("https://openstax.org/books/introductory-statistics/pages/9-introduction", "OpenStax Hypothesis Testing")</f>
        <v/>
      </c>
      <c r="G16" s="6">
        <f>HYPERLINK("https://www.youtube.com/watch?v=0oc49oHNDsw", "StatQuest Hypothesis Testing")</f>
        <v/>
      </c>
    </row>
    <row r="17" ht="35" customHeight="1">
      <c r="A17" s="7" t="inlineStr">
        <is>
          <t>Day 14</t>
        </is>
      </c>
      <c r="B17" s="8" t="inlineStr">
        <is>
          <t>Week 2</t>
        </is>
      </c>
      <c r="C17" s="9" t="inlineStr">
        <is>
          <t>Statistical Tests &amp; Project</t>
        </is>
      </c>
      <c r="D17" s="9" t="inlineStr">
        <is>
          <t>Parametric evaluation tests: Z-tests, independent T-tests, ANOVA tables</t>
        </is>
      </c>
      <c r="E17" s="11" t="inlineStr">
        <is>
          <t>Project: Complete A/B Testing Experiment Significance Evaluation Engine</t>
        </is>
      </c>
      <c r="F17" s="10">
        <f>HYPERLINK("https://openstax.org/books/introductory-statistics/pages/13-f-distribution-and-one-way-anova", "OpenStax ANOVA Docs")</f>
        <v/>
      </c>
      <c r="G17" s="10">
        <f>HYPERLINK("https://www.youtube.com/watch?v=NFDo9oVAE-g", "StatQuest T-Tests and ANOVA")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55" customWidth="1" min="4" max="4"/>
    <col width="55" customWidth="1" min="5" max="5"/>
    <col width="27" customWidth="1" min="6" max="6"/>
    <col width="27" customWidth="1" min="7" max="7"/>
  </cols>
  <sheetData>
    <row r="1" ht="40" customHeight="1">
      <c r="A1" s="1" t="inlineStr">
        <is>
          <t>Python &amp; Software Engineering Foundation (Days 15 - 28)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</t>
        </is>
      </c>
      <c r="D3" s="2" t="inlineStr">
        <is>
          <t>Core Concepts &amp; Keywords</t>
        </is>
      </c>
      <c r="E3" s="2" t="inlineStr">
        <is>
          <t>Daily Coding Objective / Milestone</t>
        </is>
      </c>
    </row>
    <row r="4" ht="35" customHeight="1">
      <c r="A4" s="3" t="inlineStr">
        <is>
          <t>Day 15</t>
        </is>
      </c>
      <c r="B4" s="4" t="inlineStr">
        <is>
          <t>Week 3</t>
        </is>
      </c>
      <c r="C4" s="5" t="inlineStr">
        <is>
          <t>Environment &amp; Primitive Types</t>
        </is>
      </c>
      <c r="D4" s="5" t="inlineStr">
        <is>
          <t>Anaconda, VS Code/Jupyter, variables, primitives (int, float, string, boolean)</t>
        </is>
      </c>
      <c r="E4" s="5" t="inlineStr">
        <is>
          <t>Set up local IDE; write script assigning, combining all primitive types</t>
        </is>
      </c>
      <c r="F4" s="6">
        <f>HYPERLINK("https://docs.python.org/3/tutorial/index.html", "Official Python Docs")</f>
        <v/>
      </c>
      <c r="G4" s="6">
        <f>HYPERLINK("https://www.youtube.com/watch?v=kqtD5eraYLY", "freeCodeCamp Complete Python")</f>
        <v/>
      </c>
    </row>
    <row r="5" ht="35" customHeight="1">
      <c r="A5" s="7" t="inlineStr">
        <is>
          <t>Day 16</t>
        </is>
      </c>
      <c r="B5" s="8" t="inlineStr">
        <is>
          <t>Week 3</t>
        </is>
      </c>
      <c r="C5" s="9" t="inlineStr">
        <is>
          <t>Control Flow Structures</t>
        </is>
      </c>
      <c r="D5" s="9" t="inlineStr">
        <is>
          <t>Conditional testing blocks (if, elif, else), logical comparison operations</t>
        </is>
      </c>
      <c r="E5" s="9" t="inlineStr">
        <is>
          <t>Construct a multi-condition access control and authentication program</t>
        </is>
      </c>
      <c r="F5" s="10">
        <f>HYPERLINK("https://docs.python.org/3/tutorial/controlflow.html", "Official Control Flow Docs")</f>
        <v/>
      </c>
      <c r="G5" s="10">
        <f>HYPERLINK("https://www.youtube.com/watch?v=DZwmZ8yC7xk", "Corey Schafer Conditionals")</f>
        <v/>
      </c>
    </row>
    <row r="6" ht="35" customHeight="1">
      <c r="A6" s="3" t="inlineStr">
        <is>
          <t>Day 17</t>
        </is>
      </c>
      <c r="B6" s="4" t="inlineStr">
        <is>
          <t>Week 3</t>
        </is>
      </c>
      <c r="C6" s="5" t="inlineStr">
        <is>
          <t>Loops &amp; Multi-iterations</t>
        </is>
      </c>
      <c r="D6" s="5" t="inlineStr">
        <is>
          <t>for loops, while loops, loops across iterators, control strings (break, continue)</t>
        </is>
      </c>
      <c r="E6" s="5" t="inlineStr">
        <is>
          <t>Develop a numeric value guessing game utilizing dynamic loop logic</t>
        </is>
      </c>
      <c r="F6" s="6">
        <f>HYPERLINK("https://docs.python.org/3/tutorial/controlflow.html#for-statements", "Official Loops Docs")</f>
        <v/>
      </c>
      <c r="G6" s="6">
        <f>HYPERLINK("https://www.youtube.com/watch?v=6iF8Xb7Z3wQ", "Corey Schafer Loops")</f>
        <v/>
      </c>
    </row>
    <row r="7" ht="35" customHeight="1">
      <c r="A7" s="7" t="inlineStr">
        <is>
          <t>Day 18</t>
        </is>
      </c>
      <c r="B7" s="8" t="inlineStr">
        <is>
          <t>Week 3</t>
        </is>
      </c>
      <c r="C7" s="9" t="inlineStr">
        <is>
          <t>Lists &amp; Tuples Collections</t>
        </is>
      </c>
      <c r="D7" s="9" t="inlineStr">
        <is>
          <t>List indices, slicing paths, list modifications, mutability profiles, List Comprehensions</t>
        </is>
      </c>
      <c r="E7" s="9" t="inlineStr">
        <is>
          <t>Process tabular rows saved inside nested lists using compression paths</t>
        </is>
      </c>
      <c r="F7" s="10">
        <f>HYPERLINK("https://docs.python.org/3/tutorial/datastructures.html", "Official Data Structures Docs")</f>
        <v/>
      </c>
      <c r="G7" s="10">
        <f>HYPERLINK("https://www.youtube.com/watch?v=W8KRzm-HUcc", "Corey Schafer Lists &amp; Tuples")</f>
        <v/>
      </c>
    </row>
    <row r="8" ht="35" customHeight="1">
      <c r="A8" s="3" t="inlineStr">
        <is>
          <t>Day 19</t>
        </is>
      </c>
      <c r="B8" s="4" t="inlineStr">
        <is>
          <t>Week 3</t>
        </is>
      </c>
      <c r="C8" s="5" t="inlineStr">
        <is>
          <t>Dictionaries &amp; Sets</t>
        </is>
      </c>
      <c r="D8" s="5" t="inlineStr">
        <is>
          <t>Key-value mapping logic, hash table foundations, un-ordered sets, set math actions</t>
        </is>
      </c>
      <c r="E8" s="5" t="inlineStr">
        <is>
          <t>Write a word-frequency scanner checking raw document files for terms</t>
        </is>
      </c>
      <c r="F8" s="6">
        <f>HYPERLINK("https://docs.python.org/3/tutorial/datastructures.html#dictionaries", "Official Dictionaries Docs")</f>
        <v/>
      </c>
      <c r="G8" s="6">
        <f>HYPERLINK("https://www.youtube.com/watch?v=daefaLgNkw0", "Corey Schafer Dictionaries")</f>
        <v/>
      </c>
    </row>
    <row r="9" ht="35" customHeight="1">
      <c r="A9" s="7" t="inlineStr">
        <is>
          <t>Day 20</t>
        </is>
      </c>
      <c r="B9" s="8" t="inlineStr">
        <is>
          <t>Week 3</t>
        </is>
      </c>
      <c r="C9" s="9" t="inlineStr">
        <is>
          <t>Modular Functions &amp; Scopes</t>
        </is>
      </c>
      <c r="D9" s="9" t="inlineStr">
        <is>
          <t>def parameters, return tracks, positional vs keywords, *args, **kwargs, variable scope</t>
        </is>
      </c>
      <c r="E9" s="9" t="inlineStr">
        <is>
          <t>Encapsulate loose collection code blocks into modular reusable functions</t>
        </is>
      </c>
      <c r="F9" s="10">
        <f>HYPERLINK("https://docs.python.org/3/tutorial/controlflow.html#defining-functions", "Official Functions Docs")</f>
        <v/>
      </c>
      <c r="G9" s="10">
        <f>HYPERLINK("https://www.youtube.com/watch?v=9Os0o3wXykM", "Corey Schafer Functions")</f>
        <v/>
      </c>
    </row>
    <row r="10" ht="35" customHeight="1">
      <c r="A10" s="3" t="inlineStr">
        <is>
          <t>Day 21</t>
        </is>
      </c>
      <c r="B10" s="4" t="inlineStr">
        <is>
          <t>Week 3</t>
        </is>
      </c>
      <c r="C10" s="11" t="inlineStr">
        <is>
          <t>Project: Pure Python App</t>
        </is>
      </c>
      <c r="D10" s="5" t="inlineStr">
        <is>
          <t>Data structure consolidation, loop control structures, structural data storage</t>
        </is>
      </c>
      <c r="E10" s="11" t="inlineStr">
        <is>
          <t>Project: Code a CLI-driven Retail System saving records dynamically</t>
        </is>
      </c>
      <c r="F10" s="6">
        <f>HYPERLINK("https://docs.python.org/3/tutorial/index.html", "Python Tutorial Guide")</f>
        <v/>
      </c>
      <c r="G10" s="6">
        <f>HYPERLINK("https://www.youtube.com/watch?v=kqtD5eraYLY", "freeCodeCamp Portfolio Project")</f>
        <v/>
      </c>
    </row>
    <row r="11" ht="35" customHeight="1">
      <c r="A11" s="7" t="inlineStr">
        <is>
          <t>Day 22</t>
        </is>
      </c>
      <c r="B11" s="8" t="inlineStr">
        <is>
          <t>Week 4</t>
        </is>
      </c>
      <c r="C11" s="9" t="inlineStr">
        <is>
          <t>Native File Handling</t>
        </is>
      </c>
      <c r="D11" s="9" t="inlineStr">
        <is>
          <t>open() parameters, native context supervisors (with), text strings, JSON maps, CSV formats</t>
        </is>
      </c>
      <c r="E11" s="9" t="inlineStr">
        <is>
          <t>Parse custom log records inside plain-text lines to structured arrays</t>
        </is>
      </c>
      <c r="F11" s="10">
        <f>HYPERLINK("https://docs.python.org/3/tutorial/inputoutput.html#reading-and-writing-files", "Official File Handling Docs")</f>
        <v/>
      </c>
      <c r="G11" s="10">
        <f>HYPERLINK("https://www.youtube.com/watch?v=Uh2ebFW8OYM", "Corey Schafer File Handling")</f>
        <v/>
      </c>
    </row>
    <row r="12" ht="35" customHeight="1">
      <c r="A12" s="3" t="inlineStr">
        <is>
          <t>Day 23</t>
        </is>
      </c>
      <c r="B12" s="4" t="inlineStr">
        <is>
          <t>Week 4</t>
        </is>
      </c>
      <c r="C12" s="5" t="inlineStr">
        <is>
          <t>OOP Foundations</t>
        </is>
      </c>
      <c r="D12" s="5" t="inlineStr">
        <is>
          <t>Classes, instances, attributes, custom class instances, the initialization constructor (__init__)</t>
        </is>
      </c>
      <c r="E12" s="5" t="inlineStr">
        <is>
          <t>Model core corporate elements (e.g. Employee data card structures)</t>
        </is>
      </c>
      <c r="F12" s="6">
        <f>HYPERLINK("https://docs.python.org/3/tutorial/classes.html", "Official OOP Classes Docs")</f>
        <v/>
      </c>
      <c r="G12" s="6">
        <f>HYPERLINK("https://www.youtube.com/watch?v=ZDa-Z5JzLYM", "Corey Schafer OOP Basics")</f>
        <v/>
      </c>
    </row>
    <row r="13" ht="35" customHeight="1">
      <c r="A13" s="7" t="inlineStr">
        <is>
          <t>Day 24</t>
        </is>
      </c>
      <c r="B13" s="8" t="inlineStr">
        <is>
          <t>Week 4</t>
        </is>
      </c>
      <c r="C13" s="9" t="inlineStr">
        <is>
          <t>Advanced OOP Features</t>
        </is>
      </c>
      <c r="D13" s="9" t="inlineStr">
        <is>
          <t>Hierarchical Class Inheritance, function polymorphism, method overrides, Encapsulation</t>
        </is>
      </c>
      <c r="E13" s="9" t="inlineStr">
        <is>
          <t>Extend functional class layers into advanced sub-category objects</t>
        </is>
      </c>
      <c r="F13" s="10">
        <f>HYPERLINK("https://docs.python.org/3/tutorial/classes.html#inheritance", "Official Inheritance Docs")</f>
        <v/>
      </c>
      <c r="G13" s="10">
        <f>HYPERLINK("https://www.youtube.com/watch?v=RSl87lqOXDE", "Corey Schafer OOP Inheritance")</f>
        <v/>
      </c>
    </row>
    <row r="14" ht="35" customHeight="1">
      <c r="A14" s="3" t="inlineStr">
        <is>
          <t>Day 25</t>
        </is>
      </c>
      <c r="B14" s="4" t="inlineStr">
        <is>
          <t>Week 4</t>
        </is>
      </c>
      <c r="C14" s="5" t="inlineStr">
        <is>
          <t>Defensive Exception Handling</t>
        </is>
      </c>
      <c r="D14" s="5" t="inlineStr">
        <is>
          <t>try, except, finally error catching blocks, custom exception declarations</t>
        </is>
      </c>
      <c r="E14" s="5" t="inlineStr">
        <is>
          <t>Incorporate fallback handlers inside data converters to catch type exceptions</t>
        </is>
      </c>
      <c r="F14" s="6">
        <f>HYPERLINK("https://docs.python.org/3/tutorial/errors.html", "Official Exceptions Docs")</f>
        <v/>
      </c>
      <c r="G14" s="6">
        <f>HYPERLINK("https://www.youtube.com/watch?v=NIWwJbo-9_8", "Corey Schafer Try/Except")</f>
        <v/>
      </c>
    </row>
    <row r="15" ht="35" customHeight="1">
      <c r="A15" s="7" t="inlineStr">
        <is>
          <t>Day 26</t>
        </is>
      </c>
      <c r="B15" s="8" t="inlineStr">
        <is>
          <t>Week 4</t>
        </is>
      </c>
      <c r="C15" s="9" t="inlineStr">
        <is>
          <t>Python Modules &amp; Packages</t>
        </is>
      </c>
      <c r="D15" s="9" t="inlineStr">
        <is>
          <t>pip manager tools, virtual environments (venv), importing standard files/modules</t>
        </is>
      </c>
      <c r="E15" s="9" t="inlineStr">
        <is>
          <t>Structure your local script files into importing package architectures</t>
        </is>
      </c>
      <c r="F15" s="10">
        <f>HYPERLINK("https://docs.python.org/3/tutorial/modules.html", "Official Modules Docs")</f>
        <v/>
      </c>
      <c r="G15" s="10">
        <f>HYPERLINK("https://www.youtube.com/watch?v=CqvZ3vGoGs0", "Corey Schafer Modules &amp; Venv")</f>
        <v/>
      </c>
    </row>
    <row r="16" ht="35" customHeight="1">
      <c r="A16" s="3" t="inlineStr">
        <is>
          <t>Day 27</t>
        </is>
      </c>
      <c r="B16" s="4" t="inlineStr">
        <is>
          <t>Week 4</t>
        </is>
      </c>
      <c r="C16" s="5" t="inlineStr">
        <is>
          <t>Git &amp; Source Management</t>
        </is>
      </c>
      <c r="D16" s="5" t="inlineStr">
        <is>
          <t>Version engines, local file repositories, tracking stages (git init, add, commit)</t>
        </is>
      </c>
      <c r="E16" s="5" t="inlineStr">
        <is>
          <t>Initialize local tracking across project files, staging changes via Git</t>
        </is>
      </c>
      <c r="F16" s="6">
        <f>HYPERLINK("https://git-scm.com/doc", "Official Git Documentation")</f>
        <v/>
      </c>
      <c r="G16" s="6">
        <f>HYPERLINK("https://www.youtube.com/watch?v=HVsySz-8524", "Corey Schafer Git Course")</f>
        <v/>
      </c>
    </row>
    <row r="17" ht="35" customHeight="1">
      <c r="A17" s="7" t="inlineStr">
        <is>
          <t>Day 28</t>
        </is>
      </c>
      <c r="B17" s="8" t="inlineStr">
        <is>
          <t>Week 4</t>
        </is>
      </c>
      <c r="C17" s="11" t="inlineStr">
        <is>
          <t>Project: Git Managed App</t>
        </is>
      </c>
      <c r="D17" s="9" t="inlineStr">
        <is>
          <t>Consolidate OOP structures, custom module creation, defensive exceptions, version control</t>
        </is>
      </c>
      <c r="E17" s="11" t="inlineStr">
        <is>
          <t>Project: Develop OOP Data Management Engine &amp; Publish Repo to GitHub</t>
        </is>
      </c>
      <c r="F17" s="10">
        <f>HYPERLINK("https://docs.github.com/", "Official GitHub Docs")</f>
        <v/>
      </c>
      <c r="G17" s="10">
        <f>HYPERLINK("https://www.youtube.com/watch?v=RGOj5yH7evk", "Git &amp; GitHub Beginner Tutorial")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55" customWidth="1" min="4" max="4"/>
    <col width="55" customWidth="1" min="5" max="5"/>
    <col width="27" customWidth="1" min="6" max="6"/>
    <col width="27" customWidth="1" min="7" max="7"/>
  </cols>
  <sheetData>
    <row r="1" ht="40" customHeight="1">
      <c r="A1" s="1" t="inlineStr">
        <is>
          <t>Business Intelligence via Power BI (Days 29 - 35)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</t>
        </is>
      </c>
      <c r="D3" s="2" t="inlineStr">
        <is>
          <t>Core Concepts &amp; Visual Frameworks</t>
        </is>
      </c>
      <c r="E3" s="2" t="inlineStr">
        <is>
          <t>Hands-on Analytical Objective</t>
        </is>
      </c>
      <c r="F3" s="2" t="inlineStr">
        <is>
          <t>Microsoft Learn Link</t>
        </is>
      </c>
      <c r="G3" s="2" t="inlineStr">
        <is>
          <t>YouTube Link</t>
        </is>
      </c>
    </row>
    <row r="4" ht="35" customHeight="1">
      <c r="A4" s="3" t="inlineStr">
        <is>
          <t>Day 29</t>
        </is>
      </c>
      <c r="B4" s="4" t="inlineStr">
        <is>
          <t>Week 5</t>
        </is>
      </c>
      <c r="C4" s="5" t="inlineStr">
        <is>
          <t>Power BI Architecture &amp; ETL</t>
        </is>
      </c>
      <c r="D4" s="5" t="inlineStr">
        <is>
          <t>Interface tabs, workspace, connectors (SQL, CSV), Power Query Editor loading</t>
        </is>
      </c>
      <c r="E4" s="5" t="inlineStr">
        <is>
          <t>Connect Power BI tool to local files, launch query transformations</t>
        </is>
      </c>
      <c r="F4" s="6">
        <f>HYPERLINK("https://learn.microsoft.com/en-us/power-bi/", "Microsoft Power BI Hub")</f>
        <v/>
      </c>
      <c r="G4" s="6">
        <f>HYPERLINK("https://www.youtube.com/watch?v=AGrl-H87pRU", "Chandoo Power BI Intro")</f>
        <v/>
      </c>
    </row>
    <row r="5" ht="35" customHeight="1">
      <c r="A5" s="7" t="inlineStr">
        <is>
          <t>Day 30</t>
        </is>
      </c>
      <c r="B5" s="8" t="inlineStr">
        <is>
          <t>Week 5</t>
        </is>
      </c>
      <c r="C5" s="9" t="inlineStr">
        <is>
          <t>Data Transformation &amp; Cleansing</t>
        </is>
      </c>
      <c r="D5" s="9" t="inlineStr">
        <is>
          <t>Data type casting, stripping blank columns, unpivoting metrics, merging tables</t>
        </is>
      </c>
      <c r="E5" s="9" t="inlineStr">
        <is>
          <t>Clean and reshape unstructured transactional columns via Power Query</t>
        </is>
      </c>
      <c r="F5" s="10">
        <f>HYPERLINK("https://learn.microsoft.com/en-us/power-query/", "Official Power Query Docs")</f>
        <v/>
      </c>
      <c r="G5" s="10">
        <f>HYPERLINK("https://www.youtube.com/watch?v=TmsXgMvB_Gg", "Avi Singh Power Query Course")</f>
        <v/>
      </c>
    </row>
    <row r="6" ht="35" customHeight="1">
      <c r="A6" s="3" t="inlineStr">
        <is>
          <t>Day 31</t>
        </is>
      </c>
      <c r="B6" s="4" t="inlineStr">
        <is>
          <t>Week 5</t>
        </is>
      </c>
      <c r="C6" s="5" t="inlineStr">
        <is>
          <t>Data Modeling Foundations</t>
        </is>
      </c>
      <c r="D6" s="5" t="inlineStr">
        <is>
          <t>Relational data structures, Star Schema schema architecture, Fact vs Dimension entities</t>
        </is>
      </c>
      <c r="E6" s="5" t="inlineStr">
        <is>
          <t>Build active database links, shaping star schemas out of flat files</t>
        </is>
      </c>
      <c r="F6" s="6">
        <f>HYPERLINK("https://learn.microsoft.com/en-us/power-bi/guidance/star-schema", "Star Schema Guide")</f>
        <v/>
      </c>
      <c r="G6" s="6">
        <f>HYPERLINK("https://www.youtube.com/watch?v=AGrl-H87pRU", "Chandoo Data Modeling")</f>
        <v/>
      </c>
    </row>
    <row r="7" ht="35" customHeight="1">
      <c r="A7" s="7" t="inlineStr">
        <is>
          <t>Day 32</t>
        </is>
      </c>
      <c r="B7" s="8" t="inlineStr">
        <is>
          <t>Week 5</t>
        </is>
      </c>
      <c r="C7" s="9" t="inlineStr">
        <is>
          <t>DAX Foundations: Fields &amp; Columns</t>
        </is>
      </c>
      <c r="D7" s="9" t="inlineStr">
        <is>
          <t>Calculated columns vs implicit measures, basic syntax, math syntax operations</t>
        </is>
      </c>
      <c r="E7" s="9" t="inlineStr">
        <is>
          <t>Write customized columns computing profit rates per record row</t>
        </is>
      </c>
      <c r="F7" s="10">
        <f>HYPERLINK("https://learn.microsoft.com/en-us/dax/", "Official DAX Reference")</f>
        <v/>
      </c>
      <c r="G7" s="10">
        <f>HYPERLINK("https://www.youtube.com/watch?v=AGrl-H87pRU", "Chandoo DAX Basics")</f>
        <v/>
      </c>
    </row>
    <row r="8" ht="35" customHeight="1">
      <c r="A8" s="3" t="inlineStr">
        <is>
          <t>Day 33</t>
        </is>
      </c>
      <c r="B8" s="4" t="inlineStr">
        <is>
          <t>Week 5</t>
        </is>
      </c>
      <c r="C8" s="5" t="inlineStr">
        <is>
          <t>The CALCULATE Modifier</t>
        </is>
      </c>
      <c r="D8" s="5" t="inlineStr">
        <is>
          <t>Context transition properties, overriding active row selections, filter injections</t>
        </is>
      </c>
      <c r="E8" s="5" t="inlineStr">
        <is>
          <t>Compute gross product line metrics by overriding local card filter inputs</t>
        </is>
      </c>
      <c r="F8" s="6">
        <f>HYPERLINK("https://learn.microsoft.com/en-us/dax/calculate-function-dax", "CALCULATE Reference Docs")</f>
        <v/>
      </c>
      <c r="G8" s="6">
        <f>HYPERLINK("https://www.youtube.com/watch?v=TmsXgMvB_Gg", "Avi Singh CALCULATE Tutorial")</f>
        <v/>
      </c>
    </row>
    <row r="9" ht="35" customHeight="1">
      <c r="A9" s="7" t="inlineStr">
        <is>
          <t>Day 34</t>
        </is>
      </c>
      <c r="B9" s="8" t="inlineStr">
        <is>
          <t>Week 5</t>
        </is>
      </c>
      <c r="C9" s="9" t="inlineStr">
        <is>
          <t>Advanced DAX Iterators</t>
        </is>
      </c>
      <c r="D9" s="9" t="inlineStr">
        <is>
          <t>Evaluating dynamic row records (SUMX, AVERAGEX, RANKX), intermediate states</t>
        </is>
      </c>
      <c r="E9" s="9" t="inlineStr">
        <is>
          <t>Formulate conditional performance rank values across global regions</t>
        </is>
      </c>
      <c r="F9" s="10">
        <f>HYPERLINK("https://learn.microsoft.com/en-us/dax/expression-queries", "DAX Advanced Guide")</f>
        <v/>
      </c>
      <c r="G9" s="10">
        <f>HYPERLINK("https://www.youtube.com/watch?v=TmsXgMvB_Gg", "Avi Singh Advanced Measures")</f>
        <v/>
      </c>
    </row>
    <row r="10" ht="35" customHeight="1">
      <c r="A10" s="3" t="inlineStr">
        <is>
          <t>Day 35</t>
        </is>
      </c>
      <c r="B10" s="4" t="inlineStr">
        <is>
          <t>Week 5</t>
        </is>
      </c>
      <c r="C10" s="11" t="inlineStr">
        <is>
          <t>Project: Enterprise Report</t>
        </is>
      </c>
      <c r="D10" s="5" t="inlineStr">
        <is>
          <t>Report canvases, component charts, cross-filters, publication configurations</t>
        </is>
      </c>
      <c r="E10" s="11" t="inlineStr">
        <is>
          <t>Project: Build End-to-End interactive Corporate Sales Performance Dashboard</t>
        </is>
      </c>
      <c r="F10" s="6">
        <f>HYPERLINK("https://learn.microsoft.com/en-us/power-bi/create-reports/", "Microsoft Reports Guide")</f>
        <v/>
      </c>
      <c r="G10" s="6">
        <f>HYPERLINK("https://www.youtube.com/watch?v=AGrl-H87pRU", "Chandoo Full Build Project")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55" customWidth="1" min="4" max="4"/>
    <col width="55" customWidth="1" min="5" max="5"/>
    <col width="27" customWidth="1" min="6" max="6"/>
    <col width="27" customWidth="1" min="7" max="7"/>
  </cols>
  <sheetData>
    <row r="1" ht="40" customHeight="1">
      <c r="A1" s="1" t="inlineStr">
        <is>
          <t>Supervised &amp; Advanced Unsupervised Machine Learning (Days 36 - 56)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</t>
        </is>
      </c>
      <c r="D3" s="2" t="inlineStr">
        <is>
          <t>Algorithmic &amp; Architecture Focus</t>
        </is>
      </c>
      <c r="E3" s="2" t="inlineStr">
        <is>
          <t>Pipeline / Implementation Task</t>
        </is>
      </c>
      <c r="F3" s="2" t="inlineStr">
        <is>
          <t>Official Reference Link</t>
        </is>
      </c>
      <c r="G3" s="2" t="inlineStr">
        <is>
          <t>YouTube Link</t>
        </is>
      </c>
    </row>
    <row r="4" ht="35" customHeight="1">
      <c r="A4" s="3" t="inlineStr">
        <is>
          <t>Day 36</t>
        </is>
      </c>
      <c r="B4" s="4" t="inlineStr">
        <is>
          <t>Week 6</t>
        </is>
      </c>
      <c r="C4" s="5" t="inlineStr">
        <is>
          <t>NumPy &amp; Vector Handling</t>
        </is>
      </c>
      <c r="D4" s="5" t="inlineStr">
        <is>
          <t>N-dimensional array elements, broadcasting vector math rules, slicing indices</t>
        </is>
      </c>
      <c r="E4" s="5" t="inlineStr">
        <is>
          <t>Vectorize loop-heavy arithmetic rows via functional NumPy arrays</t>
        </is>
      </c>
      <c r="F4" s="6">
        <f>HYPERLINK("https://numpy.org/doc/stable/user/absolute_beginners.html", "NumPy Official Guide")</f>
        <v/>
      </c>
      <c r="G4" s="6">
        <f>HYPERLINK("https://www.youtube.com/playlist?list=PLblh5JKOoLUICTaGLRoHQDuF_7q2GfuJF", "StatQuest NumPy Basics")</f>
        <v/>
      </c>
    </row>
    <row r="5" ht="35" customHeight="1">
      <c r="A5" s="7" t="inlineStr">
        <is>
          <t>Day 37</t>
        </is>
      </c>
      <c r="B5" s="8" t="inlineStr">
        <is>
          <t>Week 6</t>
        </is>
      </c>
      <c r="C5" s="9" t="inlineStr">
        <is>
          <t>Pandas DataFrame Wrangling</t>
        </is>
      </c>
      <c r="D5" s="9" t="inlineStr">
        <is>
          <t>DataFrame query masks, handling categorical items, filtering row indexes</t>
        </is>
      </c>
      <c r="E5" s="9" t="inlineStr">
        <is>
          <t>Ingest unpolished Kaggle files, processing query transformations</t>
        </is>
      </c>
      <c r="F5" s="10">
        <f>HYPERLINK("https://pandas.pydata.org/docs/user_guide/index.html", "Pandas Official Docs")</f>
        <v/>
      </c>
      <c r="G5" s="10">
        <f>HYPERLINK("https://www.youtube.com/playlist?list=PLKnIA16_RmvbAl7lyqVvRI-cz3BwAd3mU", "CampusX Pandas Course")</f>
        <v/>
      </c>
    </row>
    <row r="6" ht="35" customHeight="1">
      <c r="A6" s="3" t="inlineStr">
        <is>
          <t>Day 38</t>
        </is>
      </c>
      <c r="B6" s="4" t="inlineStr">
        <is>
          <t>Week 6</t>
        </is>
      </c>
      <c r="C6" s="5" t="inlineStr">
        <is>
          <t>Data Preprocessing</t>
        </is>
      </c>
      <c r="D6" s="5" t="inlineStr">
        <is>
          <t>Imputing empty cells, descriptive outlier isolations via Interquartile Range (IQR)</t>
        </is>
      </c>
      <c r="E6" s="5" t="inlineStr">
        <is>
          <t>Build automated cleaning pipelines clearing out corrupted file observations</t>
        </is>
      </c>
      <c r="F6" s="6">
        <f>HYPERLINK("https://scikit-learn.org/stable/modules/preprocessing.html", "Scikit-Learn Imputers Docs")</f>
        <v/>
      </c>
      <c r="G6" s="6">
        <f>HYPERLINK("https://www.youtube.com/playlist?list=PLKnIA16_RmvbAl7lyqVvRI-cz3BwAd3mU", "CampusX Feature Scaling")</f>
        <v/>
      </c>
    </row>
    <row r="7" ht="35" customHeight="1">
      <c r="A7" s="7" t="inlineStr">
        <is>
          <t>Day 39</t>
        </is>
      </c>
      <c r="B7" s="8" t="inlineStr">
        <is>
          <t>Week 6</t>
        </is>
      </c>
      <c r="C7" s="9" t="inlineStr">
        <is>
          <t>Feature Transformation</t>
        </is>
      </c>
      <c r="D7" s="9" t="inlineStr">
        <is>
          <t>Categorical One-Hot string encoding, Standard scaling features vs MinMax limits</t>
        </is>
      </c>
      <c r="E7" s="9" t="inlineStr">
        <is>
          <t>Transform raw varied data frames into scale-uniform numeric fields</t>
        </is>
      </c>
      <c r="F7" s="10">
        <f>HYPERLINK("https://scikit-learn.org/stable/modules/preprocessing.html#encoding-categorical-features", "Scikit Encoding Docs")</f>
        <v/>
      </c>
      <c r="G7" s="10">
        <f>HYPERLINK("https://www.youtube.com/playlist?list=PLKnIA16_RmvbAl7lyqVvRI-cz3BwAd3mU", "CampusX Preprocessing Pipeline")</f>
        <v/>
      </c>
    </row>
    <row r="8" ht="35" customHeight="1">
      <c r="A8" s="3" t="inlineStr">
        <is>
          <t>Day 40</t>
        </is>
      </c>
      <c r="B8" s="4" t="inlineStr">
        <is>
          <t>Week 6</t>
        </is>
      </c>
      <c r="C8" s="5" t="inlineStr">
        <is>
          <t>Linear Regression Math</t>
        </is>
      </c>
      <c r="D8" s="5" t="inlineStr">
        <is>
          <t>Ordinary Least Squares (OLS) solutions, prediction costs, coefficient derivatives</t>
        </is>
      </c>
      <c r="E8" s="5" t="inlineStr">
        <is>
          <t>Fit predictive lines using Scikit-Learn; check model coefficients</t>
        </is>
      </c>
      <c r="F8" s="6">
        <f>HYPERLINK("https://scikit-learn.org/stable/modules/linear_model.html#ordinary-least-squares", "OLS Reference Docs")</f>
        <v/>
      </c>
      <c r="G8" s="6">
        <f>HYPERLINK("https://www.youtube.com/watch?v=PaFPbb66DxQ", "StatQuest Linear Regression")</f>
        <v/>
      </c>
    </row>
    <row r="9" ht="35" customHeight="1">
      <c r="A9" s="7" t="inlineStr">
        <is>
          <t>Day 41</t>
        </is>
      </c>
      <c r="B9" s="8" t="inlineStr">
        <is>
          <t>Week 6</t>
        </is>
      </c>
      <c r="C9" s="9" t="inlineStr">
        <is>
          <t>Model Regression Checks</t>
        </is>
      </c>
      <c r="D9" s="9" t="inlineStr">
        <is>
          <t>Evaluation scoring metrics: MAE, MSE, RMSE, R2 variance score bounds</t>
        </is>
      </c>
      <c r="E9" s="9" t="inlineStr">
        <is>
          <t>Evaluate feature model scores, tracking predictive variance drops</t>
        </is>
      </c>
      <c r="F9" s="10">
        <f>HYPERLINK("https://scikit-learn.org/stable/modules/model_evaluation.html#regression-metrics", "Scikit Metrics Docs")</f>
        <v/>
      </c>
      <c r="G9" s="10">
        <f>HYPERLINK("https://www.youtube.com/watch?v=PaFPbb66DxQ", "StatQuest Evaluation Metrics")</f>
        <v/>
      </c>
    </row>
    <row r="10" ht="35" customHeight="1">
      <c r="A10" s="3" t="inlineStr">
        <is>
          <t>Day 42</t>
        </is>
      </c>
      <c r="B10" s="4" t="inlineStr">
        <is>
          <t>Week 6</t>
        </is>
      </c>
      <c r="C10" s="5" t="inlineStr">
        <is>
          <t>Regularization Frameworks</t>
        </is>
      </c>
      <c r="D10" s="5" t="inlineStr">
        <is>
          <t>Ridge regression (L2 square weight cap), Lasso regression (L1 absolute penalty)</t>
        </is>
      </c>
      <c r="E10" s="5" t="inlineStr">
        <is>
          <t>Compare shrinkage weights on highly multi-collinear housing columns</t>
        </is>
      </c>
      <c r="F10" s="6">
        <f>HYPERLINK("https://scikit-learn.org/stable/modules/linear_model.html#ridge-regression", "Scikit Regularization Docs")</f>
        <v/>
      </c>
      <c r="G10" s="6">
        <f>HYPERLINK("https://www.youtube.com/watch?v=NGf0v98w9c4", "StatQuest Ridge &amp; Lasso")</f>
        <v/>
      </c>
    </row>
    <row r="11" ht="35" customHeight="1">
      <c r="A11" s="7" t="inlineStr">
        <is>
          <t>Day 43</t>
        </is>
      </c>
      <c r="B11" s="8" t="inlineStr">
        <is>
          <t>Week 6</t>
        </is>
      </c>
      <c r="C11" s="11" t="inlineStr">
        <is>
          <t>Project: Supervised Regression</t>
        </is>
      </c>
      <c r="D11" s="9" t="inlineStr">
        <is>
          <t>Pipeline assembling, standard feature scalers, cross-validation tuning loops</t>
        </is>
      </c>
      <c r="E11" s="11" t="inlineStr">
        <is>
          <t>Project: Build Real-Estate Evaluation Machine Learning Pipeline</t>
        </is>
      </c>
      <c r="F11" s="10">
        <f>HYPERLINK("https://scikit-learn.org/stable/modules/generated/sklearn.pipeline.Pipeline.html", "Scikit Pipeline Reference")</f>
        <v/>
      </c>
      <c r="G11" s="10">
        <f>HYPERLINK("https://www.youtube.com/playlist?list=PLKnIA16_RmvbAl7lyqVvRI-cz3BwAd3mU", "CampusX Regression Pipeline Project")</f>
        <v/>
      </c>
    </row>
    <row r="12" ht="35" customHeight="1">
      <c r="A12" s="3" t="inlineStr">
        <is>
          <t>Day 44</t>
        </is>
      </c>
      <c r="B12" s="4" t="inlineStr">
        <is>
          <t>Week 7</t>
        </is>
      </c>
      <c r="C12" s="5" t="inlineStr">
        <is>
          <t>Logistic Regression</t>
        </is>
      </c>
      <c r="D12" s="5" t="inlineStr">
        <is>
          <t>Sigmoid classification functions, cross-entropy optimization curves</t>
        </is>
      </c>
      <c r="E12" s="5" t="inlineStr">
        <is>
          <t>Construct binary transaction probability model for target outcomes</t>
        </is>
      </c>
      <c r="F12" s="6">
        <f>HYPERLINK("https://scikit-learn.org/stable/modules/linear_model.html#logistic-regression", "Scikit Logistic Docs")</f>
        <v/>
      </c>
      <c r="G12" s="6">
        <f>HYPERLINK("https://www.youtube.com/watch?v=yIYKR4sgzI8", "StatQuest Logistic Regression")</f>
        <v/>
      </c>
    </row>
    <row r="13" ht="35" customHeight="1">
      <c r="A13" s="7" t="inlineStr">
        <is>
          <t>Day 45</t>
        </is>
      </c>
      <c r="B13" s="8" t="inlineStr">
        <is>
          <t>Week 7</t>
        </is>
      </c>
      <c r="C13" s="9" t="inlineStr">
        <is>
          <t>Classification Metrics</t>
        </is>
      </c>
      <c r="D13" s="9" t="inlineStr">
        <is>
          <t>Confusion matrices, Precision, Recall, structural F1-scores, ROC-AUC profiles</t>
        </is>
      </c>
      <c r="E13" s="9" t="inlineStr">
        <is>
          <t>Evaluate skewed records, adjusting decision splits for Recall priorities</t>
        </is>
      </c>
      <c r="F13" s="10">
        <f>HYPERLINK("https://scikit-learn.org/stable/modules/model_evaluation.html#classification-metrics", "Scikit Classifier Metrics")</f>
        <v/>
      </c>
      <c r="G13" s="10">
        <f>HYPERLINK("https://www.youtube.com/watch?v=4jRBRDbJemM", "StatQuest Sensitivity &amp; Specificity")</f>
        <v/>
      </c>
    </row>
    <row r="14" ht="35" customHeight="1">
      <c r="A14" s="3" t="inlineStr">
        <is>
          <t>Day 46</t>
        </is>
      </c>
      <c r="B14" s="4" t="inlineStr">
        <is>
          <t>Week 7</t>
        </is>
      </c>
      <c r="C14" s="5" t="inlineStr">
        <is>
          <t>K-Nearest Neighbors &amp; SVM</t>
        </is>
      </c>
      <c r="D14" s="5" t="inlineStr">
        <is>
          <t>Distance math rules (Euclidean vs Manhattan), maximal margin space hyperplanes</t>
        </is>
      </c>
      <c r="E14" s="5" t="inlineStr">
        <is>
          <t>Separate spatial observations using SVM kernels on non-linear files</t>
        </is>
      </c>
      <c r="F14" s="6">
        <f>HYPERLINK("https://scikit-learn.org/stable/modules/svm.html", "Scikit SVM Guide")</f>
        <v/>
      </c>
      <c r="G14" s="6">
        <f>HYPERLINK("https://www.youtube.com/watch?v=efR1C6NV7oE", "StatQuest Support Vector Machines")</f>
        <v/>
      </c>
    </row>
    <row r="15" ht="35" customHeight="1">
      <c r="A15" s="7" t="inlineStr">
        <is>
          <t>Day 47</t>
        </is>
      </c>
      <c r="B15" s="8" t="inlineStr">
        <is>
          <t>Week 7</t>
        </is>
      </c>
      <c r="C15" s="9" t="inlineStr">
        <is>
          <t>Naive Bayes &amp; Decisions Trees</t>
        </is>
      </c>
      <c r="D15" s="9" t="inlineStr">
        <is>
          <t>Conditional feature boundaries, target text probability splits, Information Gain indices</t>
        </is>
      </c>
      <c r="E15" s="9" t="inlineStr">
        <is>
          <t>Graph custom classification branches evaluating structural feature splits</t>
        </is>
      </c>
      <c r="F15" s="10">
        <f>HYPERLINK("https://scikit-learn.org/stable/modules/tree.html", "Scikit Decision Trees")</f>
        <v/>
      </c>
      <c r="G15" s="10">
        <f>HYPERLINK("https://www.youtube.com/watch?v=7VeUPuFGJHk", "StatQuest Decision Trees")</f>
        <v/>
      </c>
    </row>
    <row r="16" ht="35" customHeight="1">
      <c r="A16" s="3" t="inlineStr">
        <is>
          <t>Day 48</t>
        </is>
      </c>
      <c r="B16" s="4" t="inlineStr">
        <is>
          <t>Week 7</t>
        </is>
      </c>
      <c r="C16" s="11" t="inlineStr">
        <is>
          <t>Project: Supervised Classifier</t>
        </is>
      </c>
      <c r="D16" s="5" t="inlineStr">
        <is>
          <t>Classifier assembly, handling skewed imbalances, grid hyperparameter loops</t>
        </is>
      </c>
      <c r="E16" s="11" t="inlineStr">
        <is>
          <t>Project: Construct Bank Customer Churn Risk Prediction Dashboard</t>
        </is>
      </c>
      <c r="F16" s="6">
        <f>HYPERLINK("https://scikit-learn.org/stable/modules/grid_search.html", "Scikit Hyperparameter Tuning Docs")</f>
        <v/>
      </c>
      <c r="G16" s="6">
        <f>HYPERLINK("https://www.youtube.com/playlist?list=PLKnIA16_RmvbAl7lyqVvRI-cz3BwAd3mU", "CampusX GridSearch Project Workflow")</f>
        <v/>
      </c>
    </row>
    <row r="17" ht="35" customHeight="1">
      <c r="A17" s="7" t="inlineStr">
        <is>
          <t>Day 49</t>
        </is>
      </c>
      <c r="B17" s="8" t="inlineStr">
        <is>
          <t>Week 7</t>
        </is>
      </c>
      <c r="C17" s="9" t="inlineStr">
        <is>
          <t>Random Forests &amp; Bagging</t>
        </is>
      </c>
      <c r="D17" s="9" t="inlineStr">
        <is>
          <t>Ensemble bootstrap aggregation tracks, feature subset restrictions, tree variations</t>
        </is>
      </c>
      <c r="E17" s="9" t="inlineStr">
        <is>
          <t>Train forest model configurations, comparing feature importance rankings</t>
        </is>
      </c>
      <c r="F17" s="10">
        <f>HYPERLINK("https://scikit-learn.org/stable/modules/ensemble.html#forests-of-randomized-trees", "Scikit Random Forest Docs")</f>
        <v/>
      </c>
      <c r="G17" s="10">
        <f>HYPERLINK("https://www.youtube.com/watch?v=J4Wdy0Wc_xQ", "StatQuest Random Forests")</f>
        <v/>
      </c>
    </row>
    <row r="18" ht="35" customHeight="1">
      <c r="A18" s="3" t="inlineStr">
        <is>
          <t>Day 50</t>
        </is>
      </c>
      <c r="B18" s="4" t="inlineStr">
        <is>
          <t>Week 7</t>
        </is>
      </c>
      <c r="C18" s="5" t="inlineStr">
        <is>
          <t>Gradient Boosting Engines</t>
        </is>
      </c>
      <c r="D18" s="5" t="inlineStr">
        <is>
          <t>Sequential boosting correction passes, initial base estimators, boosting rates</t>
        </is>
      </c>
      <c r="E18" s="5" t="inlineStr">
        <is>
          <t>Construct predictive sequential trees adjusting error residues iteratively</t>
        </is>
      </c>
      <c r="F18" s="6">
        <f>HYPERLINK("https://scikit-learn.org/stable/modules/ensemble.html#gradient-tree-boosting", "Scikit Gradient Boosting")</f>
        <v/>
      </c>
      <c r="G18" s="6">
        <f>HYPERLINK("https://www.youtube.com/watch?v=3CC4N4z3GJc", "StatQuest Gradient Boosting Machine")</f>
        <v/>
      </c>
    </row>
    <row r="19" ht="35" customHeight="1">
      <c r="A19" s="7" t="inlineStr">
        <is>
          <t>Day 51</t>
        </is>
      </c>
      <c r="B19" s="8" t="inlineStr">
        <is>
          <t>Week 7</t>
        </is>
      </c>
      <c r="C19" s="9" t="inlineStr">
        <is>
          <t>Advanced Boosters (XGBoost)</t>
        </is>
      </c>
      <c r="D19" s="9" t="inlineStr">
        <is>
          <t>Regularization additions on trees, leaf node expansion styles, performance tuners</t>
        </is>
      </c>
      <c r="E19" s="9" t="inlineStr">
        <is>
          <t>Deploy optimized high-speed XGBoost pipelines to target records</t>
        </is>
      </c>
      <c r="F19" s="10">
        <f>HYPERLINK("https://xgboost.readthedocs.io/en/stable/", "Official XGBoost Documentation")</f>
        <v/>
      </c>
      <c r="G19" s="10">
        <f>HYPERLINK("https://www.youtube.com/watch?v=OtD8wVaFm6E", "StatQuest XGBoost Architecture")</f>
        <v/>
      </c>
    </row>
    <row r="20" ht="35" customHeight="1">
      <c r="A20" s="3" t="inlineStr">
        <is>
          <t>Day 52</t>
        </is>
      </c>
      <c r="B20" s="4" t="inlineStr">
        <is>
          <t>Week 8</t>
        </is>
      </c>
      <c r="C20" s="5" t="inlineStr">
        <is>
          <t>K-Means Clustering Core</t>
        </is>
      </c>
      <c r="D20" s="5" t="inlineStr">
        <is>
          <t>Centroid placement loops, distance grouping metrics, structural Intertia checks</t>
        </is>
      </c>
      <c r="E20" s="5" t="inlineStr">
        <is>
          <t>Map cluster error reductions using Elbow plots to select cluster count K</t>
        </is>
      </c>
      <c r="F20" s="6">
        <f>HYPERLINK("https://scikit-learn.org/stable/modules/clustering.html#k-means", "Scikit K-Means Docs")</f>
        <v/>
      </c>
      <c r="G20" s="6">
        <f>HYPERLINK("https://www.youtube.com/watch?v=4b5d3muPQmA", "StatQuest K-Means Clustering")</f>
        <v/>
      </c>
    </row>
    <row r="21" ht="35" customHeight="1">
      <c r="A21" s="7" t="inlineStr">
        <is>
          <t>Day 53</t>
        </is>
      </c>
      <c r="B21" s="8" t="inlineStr">
        <is>
          <t>Week 8</t>
        </is>
      </c>
      <c r="C21" s="9" t="inlineStr">
        <is>
          <t>Advanced Clustering Options</t>
        </is>
      </c>
      <c r="D21" s="9" t="inlineStr">
        <is>
          <t>Hierarchical clustering structures, linkages, Dendrogram branches, DBSCAN core paths</t>
        </is>
      </c>
      <c r="E21" s="9" t="inlineStr">
        <is>
          <t>Isolate dense coordinate blocks from background data noise via DBSCAN</t>
        </is>
      </c>
      <c r="F21" s="10">
        <f>HYPERLINK("https://scikit-learn.org/stable/modules/clustering.html#dbscan", "Scikit DBSCAN Docs")</f>
        <v/>
      </c>
      <c r="G21" s="10">
        <f>HYPERLINK("https://www.youtube.com/watch?v=7xHsRkOdVwo", "StatQuest Hierarchical Clustering")</f>
        <v/>
      </c>
    </row>
    <row r="22" ht="35" customHeight="1">
      <c r="A22" s="3" t="inlineStr">
        <is>
          <t>Day 54</t>
        </is>
      </c>
      <c r="B22" s="4" t="inlineStr">
        <is>
          <t>Week 8</t>
        </is>
      </c>
      <c r="C22" s="5" t="inlineStr">
        <is>
          <t>Gaussian Mixture Models</t>
        </is>
      </c>
      <c r="D22" s="5" t="inlineStr">
        <is>
          <t>Probabilistic clustering profiles, expectation-maximization iterations, soft cluster tags</t>
        </is>
      </c>
      <c r="E22" s="5" t="inlineStr">
        <is>
          <t>Assign continuous cluster probabilities to overlapping customer profiles</t>
        </is>
      </c>
      <c r="F22" s="6">
        <f>HYPERLINK("https://scikit-learn.org/stable/modules/mixture.html", "Scikit Gaussian Mixtures")</f>
        <v/>
      </c>
      <c r="G22" s="6">
        <f>HYPERLINK("https://www.youtube.com/watch?v=REypj2sy_5U", "StatQuest Gaussian Mixture Models")</f>
        <v/>
      </c>
    </row>
    <row r="23" ht="35" customHeight="1">
      <c r="A23" s="7" t="inlineStr">
        <is>
          <t>Day 55</t>
        </is>
      </c>
      <c r="B23" s="8" t="inlineStr">
        <is>
          <t>Week 8</t>
        </is>
      </c>
      <c r="C23" s="9" t="inlineStr">
        <is>
          <t>PCA Dimension Reductions</t>
        </is>
      </c>
      <c r="D23" s="9" t="inlineStr">
        <is>
          <t>Covariance space matrix parsing, component projections, tracking explained variances</t>
        </is>
      </c>
      <c r="E23" s="9" t="inlineStr">
        <is>
          <t>Contract multi-column data structures down to essential component values</t>
        </is>
      </c>
      <c r="F23" s="10">
        <f>HYPERLINK("https://scikit-learn.org/stable/modules/decomposition.html#pca", "Scikit PCA Reference")</f>
        <v/>
      </c>
      <c r="G23" s="10">
        <f>HYPERLINK("https://www.youtube.com/watch?v=FgakZw6K1QQ", "StatQuest Principal Component Analysis")</f>
        <v/>
      </c>
    </row>
    <row r="24" ht="35" customHeight="1">
      <c r="A24" s="3" t="inlineStr">
        <is>
          <t>Day 56</t>
        </is>
      </c>
      <c r="B24" s="4" t="inlineStr">
        <is>
          <t>Week 8</t>
        </is>
      </c>
      <c r="C24" s="11" t="inlineStr">
        <is>
          <t>Project: Unsupervised Cluster</t>
        </is>
      </c>
      <c r="D24" s="5" t="inlineStr">
        <is>
          <t>Feature dimension reductions, hybrid density clusters, profiling output nodes</t>
        </is>
      </c>
      <c r="E24" s="11" t="inlineStr">
        <is>
          <t>Project: Build Customer Behavioral Segmentation &amp; Outlier Model</t>
        </is>
      </c>
      <c r="F24" s="6">
        <f>HYPERLINK("https://scikit-learn.org/stable/modules/clustering.html", "Scikit Clustering Strategy")</f>
        <v/>
      </c>
      <c r="G24" s="6">
        <f>HYPERLINK("https://www.youtube.com/playlist?list=PLKnIA16_RmvbAl7lyqVvRI-cz3BwAd3mU", "CampusX Customer Segmentation App")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55" customWidth="1" min="5" max="5"/>
    <col width="27" customWidth="1" min="6" max="6"/>
    <col width="27" customWidth="1" min="7" max="7"/>
  </cols>
  <sheetData>
    <row r="1" ht="40" customHeight="1">
      <c r="A1" s="1" t="inlineStr">
        <is>
          <t>Reinforcement Learning &amp; Tabular Methods (Days 57 - 64)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</t>
        </is>
      </c>
      <c r="D3" s="2" t="inlineStr">
        <is>
          <t>Mathematical &amp; Structural RL Components</t>
        </is>
      </c>
      <c r="E3" s="2" t="inlineStr">
        <is>
          <t>Practical Laboratory / Environment Goal</t>
        </is>
      </c>
      <c r="F3" s="2" t="inlineStr">
        <is>
          <t>Official Framework Link</t>
        </is>
      </c>
      <c r="G3" s="2" t="inlineStr">
        <is>
          <t>YouTube Link</t>
        </is>
      </c>
    </row>
    <row r="4" ht="35" customHeight="1">
      <c r="A4" s="3" t="inlineStr">
        <is>
          <t>Day 57</t>
        </is>
      </c>
      <c r="B4" s="4" t="inlineStr">
        <is>
          <t>Week 9</t>
        </is>
      </c>
      <c r="C4" s="5" t="inlineStr">
        <is>
          <t>The RL Environment Loop</t>
        </is>
      </c>
      <c r="D4" s="5" t="inlineStr">
        <is>
          <t>Agent-Environment loops, states (S), actions (A), reward returns (R), loop transitions</t>
        </is>
      </c>
      <c r="E4" s="5" t="inlineStr">
        <is>
          <t>Trace environment transitions manually over simple matrix spaces</t>
        </is>
      </c>
      <c r="F4" s="6">
        <f>HYPERLINK("https://huggingface.co/deep-rl-course/unit0/introduction", "Hugging Face RL Intro")</f>
        <v/>
      </c>
      <c r="G4" s="6">
        <f>HYPERLINK("https://www.youtube.com/playlist?list=PLQY2H8rRoyvzoUYIq_xoGZ6UduivK5w7r", "Thomas Simonini RL Course")</f>
        <v/>
      </c>
    </row>
    <row r="5" ht="35" customHeight="1">
      <c r="A5" s="7" t="inlineStr">
        <is>
          <t>Day 58</t>
        </is>
      </c>
      <c r="B5" s="8" t="inlineStr">
        <is>
          <t>Week 9</t>
        </is>
      </c>
      <c r="C5" s="9" t="inlineStr">
        <is>
          <t>Markov Decision Processes</t>
        </is>
      </c>
      <c r="D5" s="9" t="inlineStr">
        <is>
          <t>MDP frameworks, transition probabilities, cumulative rewards, discount indices</t>
        </is>
      </c>
      <c r="E5" s="9" t="inlineStr">
        <is>
          <t>Model grid movement chances using structural Markov parameters</t>
        </is>
      </c>
      <c r="F5" s="10">
        <f>HYPERLINK("https://huggingface.co/deep-rl-course/unit1/introduction", "Hugging Face MDP Unit")</f>
        <v/>
      </c>
      <c r="G5" s="10">
        <f>HYPERLINK("https://www.youtube.com/watch?v=lfvX_7uH8S0", "RL Environment &amp; Loop Basics")</f>
        <v/>
      </c>
    </row>
    <row r="6" ht="35" customHeight="1">
      <c r="A6" s="3" t="inlineStr">
        <is>
          <t>Day 59</t>
        </is>
      </c>
      <c r="B6" s="4" t="inlineStr">
        <is>
          <t>Week 9</t>
        </is>
      </c>
      <c r="C6" s="5" t="inlineStr">
        <is>
          <t>The Bellman Equation</t>
        </is>
      </c>
      <c r="D6" s="5" t="inlineStr">
        <is>
          <t>Value tracking metrics V(s), Action-value equations Q(s,a), state value expansions</t>
        </is>
      </c>
      <c r="E6" s="5" t="inlineStr">
        <is>
          <t>Solve manual expectation values across small 4-state loop charts</t>
        </is>
      </c>
      <c r="F6" s="6">
        <f>HYPERLINK("https://huggingface.co/deep-rl-course/unit1/advantages", "Hugging Face Policies &amp; Values")</f>
        <v/>
      </c>
      <c r="G6" s="6">
        <f>HYPERLINK("https://www.youtube.com/watch?v=14Bf_EO_v9M", "Bellman Equation Explained Clearly")</f>
        <v/>
      </c>
    </row>
    <row r="7" ht="35" customHeight="1">
      <c r="A7" s="7" t="inlineStr">
        <is>
          <t>Day 60</t>
        </is>
      </c>
      <c r="B7" s="8" t="inlineStr">
        <is>
          <t>Week 9</t>
        </is>
      </c>
      <c r="C7" s="9" t="inlineStr">
        <is>
          <t>Exploration vs Exploitation</t>
        </is>
      </c>
      <c r="D7" s="9" t="inlineStr">
        <is>
          <t>Epsilon-greedy parameter loops, tracking value updates, step decays</t>
        </is>
      </c>
      <c r="E7" s="9" t="inlineStr">
        <is>
          <t>Simulate policy balancing switches shifting from random to optimal states</t>
        </is>
      </c>
      <c r="F7" s="10">
        <f>HYPERLINK("https://huggingface.co/deep-rl-course/unit1/exploration-exploitation", "Hugging Face Exploitation Theory")</f>
        <v/>
      </c>
      <c r="G7" s="10">
        <f>HYPERLINK("https://www.youtube.com/watch?v=lfvX_7uH8S0", "Multi-Armed Bandit Exploration Basics")</f>
        <v/>
      </c>
    </row>
    <row r="8" ht="35" customHeight="1">
      <c r="A8" s="3" t="inlineStr">
        <is>
          <t>Day 61</t>
        </is>
      </c>
      <c r="B8" s="4" t="inlineStr">
        <is>
          <t>Week 9</t>
        </is>
      </c>
      <c r="C8" s="5" t="inlineStr">
        <is>
          <t>Dynamic Programming &amp; SARSA</t>
        </is>
      </c>
      <c r="D8" s="5" t="inlineStr">
        <is>
          <t>Policy evaluation adjustments, temporal difference updates, on-policy testing rules</t>
        </is>
      </c>
      <c r="E8" s="5" t="inlineStr">
        <is>
          <t>Trace on-policy value adjustments for localized state maps</t>
        </is>
      </c>
      <c r="F8" s="6">
        <f>HYPERLINK("https://huggingface.co/deep-rl-course/unit2/introduction", "Hugging Face Q-Learning Track")</f>
        <v/>
      </c>
      <c r="G8" s="6">
        <f>HYPERLINK("https://www.youtube.com/watch?v=0g4j2k_GgcM", "SARSA On-Policy Implementation")</f>
        <v/>
      </c>
    </row>
    <row r="9" ht="35" customHeight="1">
      <c r="A9" s="7" t="inlineStr">
        <is>
          <t>Day 62</t>
        </is>
      </c>
      <c r="B9" s="8" t="inlineStr">
        <is>
          <t>Week 9</t>
        </is>
      </c>
      <c r="C9" s="9" t="inlineStr">
        <is>
          <t>Q-Learning Algorithm</t>
        </is>
      </c>
      <c r="D9" s="9" t="inlineStr">
        <is>
          <t>Off-policy optimization calculations, Q-Table update math rules, learning rates</t>
        </is>
      </c>
      <c r="E9" s="9" t="inlineStr">
        <is>
          <t>Program raw state-action Q-tables updating values per iteration</t>
        </is>
      </c>
      <c r="F9" s="10">
        <f>HYPERLINK("https://huggingface.co/deep-rl-course/unit2/q-learning", "Hugging Face Q-Table Theory")</f>
        <v/>
      </c>
      <c r="G9" s="10">
        <f>HYPERLINK("https://www.youtube.com/watch?v=q2ZOEFAaaI0", "Q-Learning In Code From Scratch")</f>
        <v/>
      </c>
    </row>
    <row r="10" ht="35" customHeight="1">
      <c r="A10" s="3" t="inlineStr">
        <is>
          <t>Day 63</t>
        </is>
      </c>
      <c r="B10" s="4" t="inlineStr">
        <is>
          <t>Week 9</t>
        </is>
      </c>
      <c r="C10" s="5" t="inlineStr">
        <is>
          <t>OpenAI Gym Integrations</t>
        </is>
      </c>
      <c r="D10" s="5" t="inlineStr">
        <is>
          <t>Environment spaces, action masking constraints, reward feedback integrations</t>
        </is>
      </c>
      <c r="E10" s="5" t="inlineStr">
        <is>
          <t>Connect Python loop algorithms to active OpenAI Gym text environments</t>
        </is>
      </c>
      <c r="F10" s="6">
        <f>HYPERLINK("https://gymnasium.farama.org/", "OpenAI Gymnasium Docs")</f>
        <v/>
      </c>
      <c r="G10" s="6">
        <f>HYPERLINK("https://www.youtube.com/watch?v=gMvdfvR699w", "Gymnasium Setup and Integration Guide")</f>
        <v/>
      </c>
    </row>
    <row r="11" ht="35" customHeight="1">
      <c r="A11" s="7" t="inlineStr">
        <is>
          <t>Day 64</t>
        </is>
      </c>
      <c r="B11" s="8" t="inlineStr">
        <is>
          <t>Week 9</t>
        </is>
      </c>
      <c r="C11" s="11" t="inlineStr">
        <is>
          <t>Project: Autonomous Agent</t>
        </is>
      </c>
      <c r="D11" s="9" t="inlineStr">
        <is>
          <t>Q-table optimization loops, convergence testing, monitoring action records</t>
        </is>
      </c>
      <c r="E11" s="11" t="inlineStr">
        <is>
          <t>Project: Code a Autonomous Agent Navigating Traps via Q-Table</t>
        </is>
      </c>
      <c r="F11" s="10">
        <f>HYPERLINK("https://huggingface.co/deep-rl-course/unit2/project", "Hugging Face RL Project Unit")</f>
        <v/>
      </c>
      <c r="G11" s="9">
        <f>HYPERLINK("https://www.youtube.com/playlist?list=PLQY2H8rRoyvzoUYIq_xoGZ6UduivK5w7r", "Thomas Simonini FrozenLake Agent")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55" customWidth="1" min="4" max="4"/>
    <col width="55" customWidth="1" min="5" max="5"/>
    <col width="27" customWidth="1" min="6" max="6"/>
    <col width="27" customWidth="1" min="7" max="7"/>
  </cols>
  <sheetData>
    <row r="1" ht="40" customHeight="1">
      <c r="A1" s="1" t="inlineStr">
        <is>
          <t>Deep Learning, Computer Vision &amp; Sequential Models (Days 65 - 82)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</t>
        </is>
      </c>
      <c r="D3" s="2" t="inlineStr">
        <is>
          <t>Neural Network Math &amp; Architecture</t>
        </is>
      </c>
      <c r="E3" s="2" t="inlineStr">
        <is>
          <t>PyTorch Framework Step</t>
        </is>
      </c>
      <c r="F3" s="2" t="inlineStr">
        <is>
          <t>Framework Reference Link</t>
        </is>
      </c>
      <c r="G3" s="2" t="inlineStr">
        <is>
          <t>YouTube Link</t>
        </is>
      </c>
    </row>
    <row r="4" ht="35" customHeight="1">
      <c r="A4" s="3" t="inlineStr">
        <is>
          <t>Day 65</t>
        </is>
      </c>
      <c r="B4" s="4" t="inlineStr">
        <is>
          <t>Week 10</t>
        </is>
      </c>
      <c r="C4" s="5" t="inlineStr">
        <is>
          <t>Perceptrons &amp; Basic MLPs</t>
        </is>
      </c>
      <c r="D4" s="5" t="inlineStr">
        <is>
          <t>Artificial neuron operations, weighted factor sums, linear activation limits</t>
        </is>
      </c>
      <c r="E4" s="5" t="inlineStr">
        <is>
          <t>Construct single logical perceptrons tracking weights manually</t>
        </is>
      </c>
      <c r="F4" s="6">
        <f>HYPERLINK("https://pytorch.org/tutorials/beginner/basics/intro.html", "PyTorch Beginner Hub")</f>
        <v/>
      </c>
      <c r="G4" s="6">
        <f>HYPERLINK("https://www.youtube.com/playlist?list=PLAqhIrjkxbuWI23v9cThsA9GvCAUhFf6o", "Andrej Karpathy Neural Nets Zero to Hero")</f>
        <v/>
      </c>
    </row>
    <row r="5" ht="35" customHeight="1">
      <c r="A5" s="7" t="inlineStr">
        <is>
          <t>Day 66</t>
        </is>
      </c>
      <c r="B5" s="8" t="inlineStr">
        <is>
          <t>Week 10</t>
        </is>
      </c>
      <c r="C5" s="9" t="inlineStr">
        <is>
          <t>Activation Functions</t>
        </is>
      </c>
      <c r="D5" s="9" t="inlineStr">
        <is>
          <t>Non-linear equations: Sigmoid, Tanh, ReLU, Leaky ReLU gradient properties</t>
        </is>
      </c>
      <c r="E5" s="9" t="inlineStr">
        <is>
          <t>Plot derivative curves for common neural layer activations</t>
        </is>
      </c>
      <c r="F5" s="10">
        <f>HYPERLINK("https://pytorch.org/docs/stable/nn.html#non-linear-activations-weighted-sum-non-linear-gating", "PyTorch Activation Docs")</f>
        <v/>
      </c>
      <c r="G5" s="10">
        <f>HYPERLINK("https://www.youtube.com/watch?v=V_xro1bcAuA", "Daniel Bourke PyTorch Course Intro")</f>
        <v/>
      </c>
    </row>
    <row r="6" ht="35" customHeight="1">
      <c r="A6" s="3" t="inlineStr">
        <is>
          <t>Day 67</t>
        </is>
      </c>
      <c r="B6" s="4" t="inlineStr">
        <is>
          <t>Week 10</t>
        </is>
      </c>
      <c r="C6" s="5" t="inlineStr">
        <is>
          <t>Backpropagation Math</t>
        </is>
      </c>
      <c r="D6" s="5" t="inlineStr">
        <is>
          <t>Chain rule computation tracks across layers, weight error adjustments</t>
        </is>
      </c>
      <c r="E6" s="5" t="inlineStr">
        <is>
          <t>Derive step-by-step layer weight corrections for sample networks</t>
        </is>
      </c>
      <c r="F6" s="6">
        <f>HYPERLINK("https://pytorch.org/tutorials/beginner/blitz/autograd_tutorial.html", "PyTorch Autograd Guide")</f>
        <v/>
      </c>
      <c r="G6" s="6">
        <f>HYPERLINK("https://www.youtube.com/watch?v=VMj-3S1tku0", "Andrej Karpathy Building Backprop")</f>
        <v/>
      </c>
    </row>
    <row r="7" ht="35" customHeight="1">
      <c r="A7" s="7" t="inlineStr">
        <is>
          <t>Day 68</t>
        </is>
      </c>
      <c r="B7" s="8" t="inlineStr">
        <is>
          <t>Week 10</t>
        </is>
      </c>
      <c r="C7" s="9" t="inlineStr">
        <is>
          <t>Optimizers &amp; Loss Functions</t>
        </is>
      </c>
      <c r="D7" s="9" t="inlineStr">
        <is>
          <t>Cross-entropy loss calculation, MSE metrics, Stochastic Gradient Descent, Adam</t>
        </is>
      </c>
      <c r="E7" s="9" t="inlineStr">
        <is>
          <t>Write raw optimization steps adjusting weight variables per cycle</t>
        </is>
      </c>
      <c r="F7" s="10">
        <f>HYPERLINK("https://pytorch.org/docs/stable/optim.html", "PyTorch Optimizers Reference")</f>
        <v/>
      </c>
      <c r="G7" s="10">
        <f>HYPERLINK("https://www.youtube.com/watch?v=V_xro1bcAuA", "Daniel Bourke Loss &amp; Optimizers")</f>
        <v/>
      </c>
    </row>
    <row r="8" ht="35" customHeight="1">
      <c r="A8" s="3" t="inlineStr">
        <is>
          <t>Day 69</t>
        </is>
      </c>
      <c r="B8" s="4" t="inlineStr">
        <is>
          <t>Week 10</t>
        </is>
      </c>
      <c r="C8" s="5" t="inlineStr">
        <is>
          <t>PyTorch Tensors Core</t>
        </is>
      </c>
      <c r="D8" s="5" t="inlineStr">
        <is>
          <t>Tensor setups, GPU routing options, autograd tracing graphs, matrix tracking</t>
        </is>
      </c>
      <c r="E8" s="5" t="inlineStr">
        <is>
          <t>Initialize multi-dimensional PyTorch tensors, logging tracking layers</t>
        </is>
      </c>
      <c r="F8" s="6">
        <f>HYPERLINK("https://pytorch.org/tutorials/beginner/basics/tensor_tutorial.html", "PyTorch Tensors Guide")</f>
        <v/>
      </c>
      <c r="G8" s="6">
        <f>HYPERLINK("https://www.youtube.com/watch?v=V_xro1bcAuA", "Daniel Bourke Tensor Math")</f>
        <v/>
      </c>
    </row>
    <row r="9" ht="35" customHeight="1">
      <c r="A9" s="7" t="inlineStr">
        <is>
          <t>Day 70</t>
        </is>
      </c>
      <c r="B9" s="8" t="inlineStr">
        <is>
          <t>Week 10</t>
        </is>
      </c>
      <c r="C9" s="9" t="inlineStr">
        <is>
          <t>PyTorch Dataset Pipelines</t>
        </is>
      </c>
      <c r="D9" s="9" t="inlineStr">
        <is>
          <t>Custom data subclasses (Dataset), batch managers (DataLoader), worker states</t>
        </is>
      </c>
      <c r="E9" s="9" t="inlineStr">
        <is>
          <t>Package custom array features into compliant PyTorch training pipes</t>
        </is>
      </c>
      <c r="F9" s="10">
        <f>HYPERLINK("https://pytorch.org/tutorials/beginner/basics/data_tutorial.html", "PyTorch Data Ingestion Docs")</f>
        <v/>
      </c>
      <c r="G9" s="10">
        <f>HYPERLINK("https://www.youtube.com/watch?v=V_xro1bcAuA", "Daniel Bourke DataLoaders Setup")</f>
        <v/>
      </c>
    </row>
    <row r="10" ht="35" customHeight="1">
      <c r="A10" s="3" t="inlineStr">
        <is>
          <t>Day 71</t>
        </is>
      </c>
      <c r="B10" s="4" t="inlineStr">
        <is>
          <t>Week 10</t>
        </is>
      </c>
      <c r="C10" s="11" t="inlineStr">
        <is>
          <t>Project: Deep PyTorch MLP</t>
        </is>
      </c>
      <c r="D10" s="5" t="inlineStr">
        <is>
          <t>Structure network modules (nn.Module), forward passes, optimization loops</t>
        </is>
      </c>
      <c r="E10" s="11" t="inlineStr">
        <is>
          <t>Project: Code and Train a Multi-Layer Perceptron using PyTorch</t>
        </is>
      </c>
      <c r="F10" s="6">
        <f>HYPERLINK("https://pytorch.org/tutorials/beginner/basics/buildmodel_tutorial.html", "PyTorch Model Construction")</f>
        <v/>
      </c>
      <c r="G10" s="6">
        <f>HYPERLINK("https://www.youtube.com/watch?v=V_xro1bcAuA", "Daniel Bourke Classification MLP Project")</f>
        <v/>
      </c>
    </row>
    <row r="11" ht="35" customHeight="1">
      <c r="A11" s="7" t="inlineStr">
        <is>
          <t>Day 72</t>
        </is>
      </c>
      <c r="B11" s="8" t="inlineStr">
        <is>
          <t>Week 11</t>
        </is>
      </c>
      <c r="C11" s="9" t="inlineStr">
        <is>
          <t>Digital Visual Processing</t>
        </is>
      </c>
      <c r="D11" s="9" t="inlineStr">
        <is>
          <t>Image color channel arrays, image dimensions, why dense MLPs fail spatial data</t>
        </is>
      </c>
      <c r="E11" s="9" t="inlineStr">
        <is>
          <t>Reshape image dimensions to verify structural filter inputs</t>
        </is>
      </c>
      <c r="F11" s="10">
        <f>HYPERLINK("https://pytorch.org/vision/stable/index.html", "PyTorch Vision Hub Docs")</f>
        <v/>
      </c>
      <c r="G11" s="10">
        <f>HYPERLINK("https://www.youtube.com/watch?v=V_xro1bcAuA", "Daniel Bourke Computer Vision Module")</f>
        <v/>
      </c>
    </row>
    <row r="12" ht="35" customHeight="1">
      <c r="A12" s="3" t="inlineStr">
        <is>
          <t>Day 73</t>
        </is>
      </c>
      <c r="B12" s="4" t="inlineStr">
        <is>
          <t>Week 11</t>
        </is>
      </c>
      <c r="C12" s="5" t="inlineStr">
        <is>
          <t>Convolutional Layer Blocks</t>
        </is>
      </c>
      <c r="D12" s="5" t="inlineStr">
        <is>
          <t>Kernel matrix sliding structures, feature extraction channels, padding models</t>
        </is>
      </c>
      <c r="E12" s="5" t="inlineStr">
        <is>
          <t>Compute pixel feature outcomes passing across convolutional layers manually</t>
        </is>
      </c>
      <c r="F12" s="6">
        <f>HYPERLINK("https://pytorch.org/docs/stable/generated/torch.nn.Conv2d.html", "PyTorch Conv2d Reference")</f>
        <v/>
      </c>
      <c r="G12" s="6">
        <f>HYPERLINK("https://www.youtube.com/watch?v=V_xro1bcAuA", "Daniel Bourke Convolution Math")</f>
        <v/>
      </c>
    </row>
    <row r="13" ht="35" customHeight="1">
      <c r="A13" s="7" t="inlineStr">
        <is>
          <t>Day 74</t>
        </is>
      </c>
      <c r="B13" s="8" t="inlineStr">
        <is>
          <t>Week 11</t>
        </is>
      </c>
      <c r="C13" s="9" t="inlineStr">
        <is>
          <t>CNN Architecture Building</t>
        </is>
      </c>
      <c r="D13" s="9" t="inlineStr">
        <is>
          <t>Max pooling steps, stride options, dense classifier arrays, full CNN assembly</t>
        </is>
      </c>
      <c r="E13" s="9" t="inlineStr">
        <is>
          <t>Assemble functional multi-layer CNNs using PyTorch blocks</t>
        </is>
      </c>
      <c r="F13" s="10">
        <f>HYPERLINK("https://pytorch.org/docs/stable/nn.html#convolution-layers", "PyTorch Layers API")</f>
        <v/>
      </c>
      <c r="G13" s="10">
        <f>HYPERLINK("https://www.youtube.com/watch?v=V_xro1bcAuA", "Daniel Bourke Building Custom CNN")</f>
        <v/>
      </c>
    </row>
    <row r="14" ht="35" customHeight="1">
      <c r="A14" s="3" t="inlineStr">
        <is>
          <t>Day 75</t>
        </is>
      </c>
      <c r="B14" s="4" t="inlineStr">
        <is>
          <t>Week 11</t>
        </is>
      </c>
      <c r="C14" s="5" t="inlineStr">
        <is>
          <t>Advanced CNN Skip Networks</t>
        </is>
      </c>
      <c r="D14" s="5" t="inlineStr">
        <is>
          <t>Vanishing network gradients, residual connection blocks (ResNet model maps)</t>
        </is>
      </c>
      <c r="E14" s="5" t="inlineStr">
        <is>
          <t>Build skip-connection networks bypassing standard convolution paths</t>
        </is>
      </c>
      <c r="F14" s="6">
        <f>HYPERLINK("https://pytorch.org/vision/stable/models.html", "PyTorch Pretrained Models Hub")</f>
        <v/>
      </c>
      <c r="G14" s="6">
        <f>HYPERLINK("https://www.youtube.com/watch?v=V_xro1bcAuA", "Daniel Bourke Understanding ResNet")</f>
        <v/>
      </c>
    </row>
    <row r="15" ht="35" customHeight="1">
      <c r="A15" s="7" t="inlineStr">
        <is>
          <t>Day 76</t>
        </is>
      </c>
      <c r="B15" s="8" t="inlineStr">
        <is>
          <t>Week 11</t>
        </is>
      </c>
      <c r="C15" s="9" t="inlineStr">
        <is>
          <t>Transfer Learning Methods</t>
        </is>
      </c>
      <c r="D15" s="9" t="inlineStr">
        <is>
          <t>Pre-trained vision models, freezing layer weights, matching custom classification heads</t>
        </is>
      </c>
      <c r="E15" s="9" t="inlineStr">
        <is>
          <t>Load trained visual backbones, modifying final classification metrics</t>
        </is>
      </c>
      <c r="F15" s="10">
        <f>HYPERLINK("https://pytorch.org/tutorials/beginner/transfer_learning_tutorial.html", "PyTorch Transfer Learning Docs")</f>
        <v/>
      </c>
      <c r="G15" s="10">
        <f>HYPERLINK("https://www.youtube.com/watch?v=V_xro1bcAuA", "Daniel Bourke Transfer Learning Pipeline")</f>
        <v/>
      </c>
    </row>
    <row r="16" ht="35" customHeight="1">
      <c r="A16" s="3" t="inlineStr">
        <is>
          <t>Day 77</t>
        </is>
      </c>
      <c r="B16" s="4" t="inlineStr">
        <is>
          <t>Week 11</t>
        </is>
      </c>
      <c r="C16" s="11" t="inlineStr">
        <is>
          <t>Project: PyTorch Image Classifier</t>
        </is>
      </c>
      <c r="D16" s="5" t="inlineStr">
        <is>
          <t>Image loading pipelines, tensor augmentation transformations, custom model tuning</t>
        </is>
      </c>
      <c r="E16" s="11" t="inlineStr">
        <is>
          <t>Project: Deploy Custom PyTorch ResNet Model on Color Image Datasets</t>
        </is>
      </c>
      <c r="F16" s="6">
        <f>HYPERLINK("https://pytorch.org/vision/stable/transforms.html", "PyTorch Image Transformations")</f>
        <v/>
      </c>
      <c r="G16" s="6">
        <f>HYPERLINK("https://www.youtube.com/watch?v=V_xro1bcAuA", "Daniel Bourke Image Classifier Project")</f>
        <v/>
      </c>
    </row>
    <row r="17" ht="35" customHeight="1">
      <c r="A17" s="7" t="inlineStr">
        <is>
          <t>Day 78</t>
        </is>
      </c>
      <c r="B17" s="8" t="inlineStr">
        <is>
          <t>Week 12</t>
        </is>
      </c>
      <c r="C17" s="9" t="inlineStr">
        <is>
          <t>Text Processing Pipelines</t>
        </is>
      </c>
      <c r="D17" s="9" t="inlineStr">
        <is>
          <t>Tokenization splits, vocabulary indices, stop-word filters, TF-IDF layouts</t>
        </is>
      </c>
      <c r="E17" s="9" t="inlineStr">
        <is>
          <t>Construct custom string parsers converting documents to token lists</t>
        </is>
      </c>
      <c r="F17" s="10">
        <f>HYPERLINK("https://pytorch.org/text/stable/index.html", "PyTorch Text Hub Docs")</f>
        <v/>
      </c>
      <c r="G17" s="10">
        <f>HYPERLINK("https://www.youtube.com/playlist?list=PLAqhIrjkxbuWI23v9cThsA9GvCAUhFf6o", "Andrej Karpathy Character Tokenizer")</f>
        <v/>
      </c>
    </row>
    <row r="18" ht="35" customHeight="1">
      <c r="A18" s="3" t="inlineStr">
        <is>
          <t>Day 79</t>
        </is>
      </c>
      <c r="B18" s="4" t="inlineStr">
        <is>
          <t>Week 12</t>
        </is>
      </c>
      <c r="C18" s="5" t="inlineStr">
        <is>
          <t>Dense Word Embeddings</t>
        </is>
      </c>
      <c r="D18" s="5" t="inlineStr">
        <is>
          <t>Continuous vector spaces, word distance metrics, Word2Vec/GloVe architectures</t>
        </is>
      </c>
      <c r="E18" s="5" t="inlineStr">
        <is>
          <t>Compute cosine distance properties between continuous word vectors</t>
        </is>
      </c>
      <c r="F18" s="6">
        <f>HYPERLINK("https://pytorch.org/docs/stable/generated/torch.nn.Embedding.html", "PyTorch nn.Embedding Docs")</f>
        <v/>
      </c>
      <c r="G18" s="6">
        <f>HYPERLINK("https://www.youtube.com/playlist?list=PLAqhIrjkxbuWI23v9cThsA9GvCAUhFf6o", "Andrej Karpathy Vector Embeddings")</f>
        <v/>
      </c>
    </row>
    <row r="19" ht="35" customHeight="1">
      <c r="A19" s="7" t="inlineStr">
        <is>
          <t>Day 80</t>
        </is>
      </c>
      <c r="B19" s="8" t="inlineStr">
        <is>
          <t>Week 12</t>
        </is>
      </c>
      <c r="C19" s="9" t="inlineStr">
        <is>
          <t>Recurrent Networks (RNN)</t>
        </is>
      </c>
      <c r="D19" s="9" t="inlineStr">
        <is>
          <t>Sequential text inputs, tracking hidden loop records, sequential bottlenecks</t>
        </is>
      </c>
      <c r="E19" s="9" t="inlineStr">
        <is>
          <t>Build token character looping networks tracking hidden conditions</t>
        </is>
      </c>
      <c r="F19" s="10">
        <f>HYPERLINK("https://pytorch.org/docs/stable/generated/torch.nn.RNN.html", "PyTorch nn.RNN Reference")</f>
        <v/>
      </c>
      <c r="G19" s="10">
        <f>HYPERLINK("https://www.youtube.com/playlist?list=PLAqhIrjkxbuWI23v9cThsA9GvCAUhFf6o", "Andrej Karpathy Building Recurrent Blocks")</f>
        <v/>
      </c>
    </row>
    <row r="20" ht="35" customHeight="1">
      <c r="A20" s="3" t="inlineStr">
        <is>
          <t>Day 81</t>
        </is>
      </c>
      <c r="B20" s="4" t="inlineStr">
        <is>
          <t>Week 12</t>
        </is>
      </c>
      <c r="C20" s="5" t="inlineStr">
        <is>
          <t>LSTM Network Blocks</t>
        </is>
      </c>
      <c r="D20" s="5" t="inlineStr">
        <is>
          <t>Gated memory modules (Forget, Input, Output gates), tracking cell context states</t>
        </is>
      </c>
      <c r="E20" s="5" t="inlineStr">
        <is>
          <t>Train PyTorch LSTM architectures on sequential time-series indicators</t>
        </is>
      </c>
      <c r="F20" s="6">
        <f>HYPERLINK("https://pytorch.org/docs/stable/generated/torch.nn.LSTM.html", "PyTorch nn.LSTM Reference")</f>
        <v/>
      </c>
      <c r="G20" s="6">
        <f>HYPERLINK("https://www.youtube.com/watch?v=AsN_g6wIbyA", "LSTM Network Equations Architecture")</f>
        <v/>
      </c>
    </row>
    <row r="21" ht="35" customHeight="1">
      <c r="A21" s="7" t="inlineStr">
        <is>
          <t>Day 82</t>
        </is>
      </c>
      <c r="B21" s="8" t="inlineStr">
        <is>
          <t>Week 12</t>
        </is>
      </c>
      <c r="C21" s="11" t="inlineStr">
        <is>
          <t>Project: Sequence Prediction</t>
        </is>
      </c>
      <c r="D21" s="9" t="inlineStr">
        <is>
          <t>Bi-directional layers, embedding layers, unpacking variable sequence runs</t>
        </is>
      </c>
      <c r="E21" s="11" t="inlineStr">
        <is>
          <t>Project: Build Deep LSTM Network to Predict Context Text Streams</t>
        </is>
      </c>
      <c r="F21" s="10">
        <f>HYPERLINK("https://pytorch.org/tutorials/beginner/nlp/sequence_models_tutorial.html", "PyTorch NLP Sequence Models")</f>
        <v/>
      </c>
      <c r="G21" s="10">
        <f>HYPERLINK("https://www.youtube.com/playlist?list=PLAqhIrjkxbuWI23v9cThsA9GvCAUhFf6o", "Andrej Karpathy Full Character GPT Model")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55" customWidth="1" min="4" max="4"/>
    <col width="55" customWidth="1" min="5" max="5"/>
    <col width="27" customWidth="1" min="6" max="6"/>
    <col width="27" customWidth="1" min="7" max="7"/>
  </cols>
  <sheetData>
    <row r="1" ht="40" customHeight="1">
      <c r="A1" s="1" t="inlineStr">
        <is>
          <t>Generative AI Engineering &amp; Model Production (Days 83 - 96)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</t>
        </is>
      </c>
      <c r="D3" s="2" t="inlineStr">
        <is>
          <t>Transformer Models &amp; Tooling</t>
        </is>
      </c>
      <c r="E3" s="2" t="inlineStr">
        <is>
          <t>GenAI Deliverable</t>
        </is>
      </c>
      <c r="F3" s="2" t="inlineStr">
        <is>
          <t>Ecosystem Doc Link</t>
        </is>
      </c>
      <c r="G3" s="2" t="inlineStr">
        <is>
          <t>YouTube Link</t>
        </is>
      </c>
    </row>
    <row r="4" ht="35" customHeight="1">
      <c r="A4" s="3" t="inlineStr">
        <is>
          <t>Day 83</t>
        </is>
      </c>
      <c r="B4" s="4" t="inlineStr">
        <is>
          <t>Week 13</t>
        </is>
      </c>
      <c r="C4" s="5" t="inlineStr">
        <is>
          <t>The Attention Mechanism</t>
        </is>
      </c>
      <c r="D4" s="5" t="inlineStr">
        <is>
          <t>Sequence-to-sequence tracking limits, Scaled Dot-Product Attention calculations</t>
        </is>
      </c>
      <c r="E4" s="5" t="inlineStr">
        <is>
          <t>Compute matrix self-attention weights over token arrays by hand</t>
        </is>
      </c>
      <c r="F4" s="6">
        <f>HYPERLINK("https://huggingface.co/learn/nlp-course/chapter1/1", "Hugging Face NLP Core")</f>
        <v/>
      </c>
      <c r="G4" s="6">
        <f>HYPERLINK("https://www.youtube.com/watch?v=kCc8FmEb1nY", "Andrej Karpathy Attention Deep Dive")</f>
        <v/>
      </c>
    </row>
    <row r="5" ht="35" customHeight="1">
      <c r="A5" s="7" t="inlineStr">
        <is>
          <t>Day 84</t>
        </is>
      </c>
      <c r="B5" s="8" t="inlineStr">
        <is>
          <t>Week 13</t>
        </is>
      </c>
      <c r="C5" s="9" t="inlineStr">
        <is>
          <t>Transformer Structural Layout</t>
        </is>
      </c>
      <c r="D5" s="9" t="inlineStr">
        <is>
          <t>Multi-head attention paths, positional vector matrices, complete Encoder-Decoder grids</t>
        </is>
      </c>
      <c r="E5" s="9" t="inlineStr">
        <is>
          <t>Track tensor dimension changes across multi-head sequence runs</t>
        </is>
      </c>
      <c r="F5" s="10">
        <f>HYPERLINK("https://huggingface.co/learn/nlp-course/chapter1/2", "Hugging Face Transformer Models")</f>
        <v/>
      </c>
      <c r="G5" s="10">
        <f>HYPERLINK("https://www.youtube.com/watch?v=kCc8FmEb1nY", "Andrej Karpathy Coding Transformers From Scratch")</f>
        <v/>
      </c>
    </row>
    <row r="6" ht="35" customHeight="1">
      <c r="A6" s="3" t="inlineStr">
        <is>
          <t>Day 85</t>
        </is>
      </c>
      <c r="B6" s="4" t="inlineStr">
        <is>
          <t>Week 13</t>
        </is>
      </c>
      <c r="C6" s="5" t="inlineStr">
        <is>
          <t>BERT vs GPT Models</t>
        </is>
      </c>
      <c r="D6" s="5" t="inlineStr">
        <is>
          <t>Masked language models vs causal text generation models, decoding workflows</t>
        </is>
      </c>
      <c r="E6" s="5" t="inlineStr">
        <is>
          <t>Contrast encoder-heavy structures with autoregressive predictive blocks</t>
        </is>
      </c>
      <c r="F6" s="6">
        <f>HYPERLINK("https://huggingface.co/learn/nlp-course/chapter1/3", "Hugging Face Encoders vs Decoders")</f>
        <v/>
      </c>
      <c r="G6" s="6">
        <f>HYPERLINK("https://www.youtube.com/watch?v=kCc8FmEb1nY", "Andrej Karpathy Architectural Variances")</f>
        <v/>
      </c>
    </row>
    <row r="7" ht="35" customHeight="1">
      <c r="A7" s="7" t="inlineStr">
        <is>
          <t>Day 86</t>
        </is>
      </c>
      <c r="B7" s="8" t="inlineStr">
        <is>
          <t>Week 13</t>
        </is>
      </c>
      <c r="C7" s="9" t="inlineStr">
        <is>
          <t>The Hugging Face Hub</t>
        </is>
      </c>
      <c r="D7" s="9" t="inlineStr">
        <is>
          <t>Pipeline interfaces, pre-trained sequence tokenizers, loading model hubs</t>
        </is>
      </c>
      <c r="E7" s="9" t="inlineStr">
        <is>
          <t>Execute modular text inference tasks utilizing Hugging Face API pipelines</t>
        </is>
      </c>
      <c r="F7" s="10">
        <f>HYPERLINK("https://huggingface.co/docs/transformers/index", "Official Hugging Face Hub Docs")</f>
        <v/>
      </c>
      <c r="G7" s="10">
        <f>HYPERLINK("https://www.youtube.com/watch?v=tcqEUSNCn8I", "Patrick Loeber Hugging Face Intro")</f>
        <v/>
      </c>
    </row>
    <row r="8" ht="35" customHeight="1">
      <c r="A8" s="3" t="inlineStr">
        <is>
          <t>Day 87</t>
        </is>
      </c>
      <c r="B8" s="4" t="inlineStr">
        <is>
          <t>Week 13</t>
        </is>
      </c>
      <c r="C8" s="11" t="inlineStr">
        <is>
          <t>Project: Model Fine-Tuning</t>
        </is>
      </c>
      <c r="D8" s="5" t="inlineStr">
        <is>
          <t>Data loading for texts, parameter training flags, monitoring model evaluation loops</t>
        </is>
      </c>
      <c r="E8" s="11" t="inlineStr">
        <is>
          <t>Project: Fine-Tune BERT Sequence Classification Models on Text Fields</t>
        </is>
      </c>
      <c r="F8" s="6">
        <f>HYPERLINK("https://huggingface.co/docs/transformers/training", "Hugging Face Model Fine-Tuning Guide")</f>
        <v/>
      </c>
      <c r="G8" s="6">
        <f>HYPERLINK("https://www.youtube.com/watch?v=tcqEUSNCn8I", "Patrick Loeber Fine-Tuning Scripts")</f>
        <v/>
      </c>
    </row>
    <row r="9" ht="35" customHeight="1">
      <c r="A9" s="7" t="inlineStr">
        <is>
          <t>Day 88</t>
        </is>
      </c>
      <c r="B9" s="8" t="inlineStr">
        <is>
          <t>Week 14</t>
        </is>
      </c>
      <c r="C9" s="9" t="inlineStr">
        <is>
          <t>Large Language Models</t>
        </is>
      </c>
      <c r="D9" s="9" t="inlineStr">
        <is>
          <t>Foundation model capabilities, context windows, tokenization processing economics</t>
        </is>
      </c>
      <c r="E9" s="9" t="inlineStr">
        <is>
          <t>Construct prompt systems optimized to extract clean values from records</t>
        </is>
      </c>
      <c r="F9" s="10">
        <f>HYPERLINK("https://www.deeplearning.ai/short-courses/", "DeepLearning.AI Prompting Short Courses")</f>
        <v/>
      </c>
      <c r="G9" s="10">
        <f>HYPERLINK("https://www.youtube.com/watch?v=tcqEUSNCn8I", "Patrick Loeber Tokenization Cost Guides")</f>
        <v/>
      </c>
    </row>
    <row r="10" ht="35" customHeight="1">
      <c r="A10" s="3" t="inlineStr">
        <is>
          <t>Day 89</t>
        </is>
      </c>
      <c r="B10" s="4" t="inlineStr">
        <is>
          <t>Week 14</t>
        </is>
      </c>
      <c r="C10" s="5" t="inlineStr">
        <is>
          <t>Prompt Optimization Patterns</t>
        </is>
      </c>
      <c r="D10" s="5" t="inlineStr">
        <is>
          <t>Few-shot structure templates, Chain-of-Thought paths, system instruction boundaries</t>
        </is>
      </c>
      <c r="E10" s="5" t="inlineStr">
        <is>
          <t>Build self-correcting prompt instructions generating strict structured output maps</t>
        </is>
      </c>
      <c r="F10" s="6">
        <f>HYPERLINK("https://www.deeplearning.ai/short-courses/", "DeepLearning.AI Advanced Instruction Sets")</f>
        <v/>
      </c>
      <c r="G10" s="6">
        <f>HYPERLINK("https://www.youtube.com/watch?v=tcqEUSNCn8I", "Prompt Templates &amp; System Scoping")</f>
        <v/>
      </c>
    </row>
    <row r="11" ht="35" customHeight="1">
      <c r="A11" s="7" t="inlineStr">
        <is>
          <t>Day 90</t>
        </is>
      </c>
      <c r="B11" s="8" t="inlineStr">
        <is>
          <t>Week 14</t>
        </is>
      </c>
      <c r="C11" s="9" t="inlineStr">
        <is>
          <t>Retrieval-Augmented Generation</t>
        </is>
      </c>
      <c r="D11" s="9" t="inlineStr">
        <is>
          <t>RAG structures, chunking long documents, overlap rules, text matching targets</t>
        </is>
      </c>
      <c r="E11" s="9" t="inlineStr">
        <is>
          <t>Build structural python functions text-splitting target reference documents</t>
        </is>
      </c>
      <c r="F11" s="10">
        <f>HYPERLINK("https://www.deeplearning.ai/short-courses/", "DeepLearning.AI RAG Mechanics Track")</f>
        <v/>
      </c>
      <c r="G11" s="10">
        <f>HYPERLINK("https://www.youtube.com/watch?v=tcqEUSNCn8I", "Patrick Loeber Content Chunking Pipelines")</f>
        <v/>
      </c>
    </row>
    <row r="12" ht="35" customHeight="1">
      <c r="A12" s="3" t="inlineStr">
        <is>
          <t>Day 91</t>
        </is>
      </c>
      <c r="B12" s="4" t="inlineStr">
        <is>
          <t>Week 14</t>
        </is>
      </c>
      <c r="C12" s="5" t="inlineStr">
        <is>
          <t>Vector Databases</t>
        </is>
      </c>
      <c r="D12" s="5" t="inlineStr">
        <is>
          <t>Embedding generations, database systems (ChromaDB/FAISS), semantic search calculations</t>
        </is>
      </c>
      <c r="E12" s="5" t="inlineStr">
        <is>
          <t>Embed and ingest document sections into persistent vector collection spaces</t>
        </is>
      </c>
      <c r="F12" s="6">
        <f>HYPERLINK("https://docs.trychroma.com/", "Official ChromaDB Documentation")</f>
        <v/>
      </c>
      <c r="G12" s="6">
        <f>HYPERLINK("https://www.youtube.com/watch?v=tcqEUSNCn8I", "Patrick Loeber Connecting Vector DBs")</f>
        <v/>
      </c>
    </row>
    <row r="13" ht="35" customHeight="1">
      <c r="A13" s="7" t="inlineStr">
        <is>
          <t>Day 92</t>
        </is>
      </c>
      <c r="B13" s="8" t="inlineStr">
        <is>
          <t>Week 14</t>
        </is>
      </c>
      <c r="C13" s="11" t="inlineStr">
        <is>
          <t>Project: Local RAG Pipeline</t>
        </is>
      </c>
      <c r="D13" s="9" t="inlineStr">
        <is>
          <t>Document indexing tools, prompt injection templates, data contextual inputs</t>
        </is>
      </c>
      <c r="E13" s="11" t="inlineStr">
        <is>
          <t>Project: Build Complete RAG Application Extracting Private Documents</t>
        </is>
      </c>
      <c r="F13" s="10">
        <f>HYPERLINK("https://docs.trychroma.com/usage-guide", "ChromaDB Embedding &amp; Search Queries")</f>
        <v/>
      </c>
      <c r="G13" s="10">
        <f>HYPERLINK("https://www.youtube.com/watch?v=tcqEUSNCn8I", "Patrick Loeber Full Local RAG App")</f>
        <v/>
      </c>
    </row>
    <row r="14" ht="35" customHeight="1">
      <c r="A14" s="3" t="inlineStr">
        <is>
          <t>Day 93</t>
        </is>
      </c>
      <c r="B14" s="4" t="inlineStr">
        <is>
          <t>Week 15</t>
        </is>
      </c>
      <c r="C14" s="5" t="inlineStr">
        <is>
          <t>FastAPI Service Construction</t>
        </is>
      </c>
      <c r="D14" s="5" t="inlineStr">
        <is>
          <t>REST API architecture, routing URL requests, payload validations via Pydantic templates</t>
        </is>
      </c>
      <c r="E14" s="5" t="inlineStr">
        <is>
          <t>Deploy machine learning inference functions via FastAPI endpoints</t>
        </is>
      </c>
      <c r="F14" s="6">
        <f>HYPERLINK("https://fastapi.tiangolo.com/", "Official FastAPI Documentation")</f>
        <v/>
      </c>
      <c r="G14" s="6">
        <f>HYPERLINK("https://www.youtube.com/playlist?list=PLqnslRFeH2UqLwzS0Q1sR6eqf63lhX0i4", "Python Engineer FastAPI Playlist")</f>
        <v/>
      </c>
    </row>
    <row r="15" ht="35" customHeight="1">
      <c r="A15" s="7" t="inlineStr">
        <is>
          <t>Day 94</t>
        </is>
      </c>
      <c r="B15" s="8" t="inlineStr">
        <is>
          <t>Week 15</t>
        </is>
      </c>
      <c r="C15" s="9" t="inlineStr">
        <is>
          <t>Streamlit UI Components</t>
        </is>
      </c>
      <c r="D15" s="9" t="inlineStr">
        <is>
          <t>Interactive front-ends, state tracking managers, chat window widget items</t>
        </is>
      </c>
      <c r="E15" s="9" t="inlineStr">
        <is>
          <t>Build responsive analytical dashboard tools linking to microservice backends</t>
        </is>
      </c>
      <c r="F15" s="10">
        <f>HYPERLINK("https://docs.streamlit.io/", "Official Streamlit UI Reference")</f>
        <v/>
      </c>
      <c r="G15" s="10">
        <f>HYPERLINK("https://www.youtube.com/playlist?list=PLqnslRFeH2UqLwzS0Q1sR6eqf63lhX0i4", "Python Engineer Front-End Streamlit Cards")</f>
        <v/>
      </c>
    </row>
    <row r="16" ht="35" customHeight="1">
      <c r="A16" s="3" t="inlineStr">
        <is>
          <t>Day 95</t>
        </is>
      </c>
      <c r="B16" s="4" t="inlineStr">
        <is>
          <t>Week 15</t>
        </is>
      </c>
      <c r="C16" s="5" t="inlineStr">
        <is>
          <t>Docker Containerization</t>
        </is>
      </c>
      <c r="D16" s="5" t="inlineStr">
        <is>
          <t>Docker architectures, structural environment encapsulation, configuring base Dockerfile rules</t>
        </is>
      </c>
      <c r="E16" s="5" t="inlineStr">
        <is>
          <t>Package model processing tools inside isolated container images</t>
        </is>
      </c>
      <c r="F16" s="6">
        <f>HYPERLINK("https://docs.docker.com/", "Official Docker Engine Manual")</f>
        <v/>
      </c>
      <c r="G16" s="6">
        <f>HYPERLINK("https://www.youtube.com/watch?v=tcqEUSNCn8I", "Containerizing Model Deployments via Dockerfile")</f>
        <v/>
      </c>
    </row>
    <row r="17" ht="35" customHeight="1">
      <c r="A17" s="7" t="inlineStr">
        <is>
          <t>Day 96</t>
        </is>
      </c>
      <c r="B17" s="8" t="inlineStr">
        <is>
          <t>Week 15</t>
        </is>
      </c>
      <c r="C17" s="11" t="inlineStr">
        <is>
          <t>Grand Capstone Project Execution</t>
        </is>
      </c>
      <c r="D17" s="9" t="inlineStr">
        <is>
          <t>End-to-end service wiring, container networking rules, parsing target logs</t>
        </is>
      </c>
      <c r="E17" s="11" t="inlineStr">
        <is>
          <t>Capstone: Package, Containerize, and Run Local Knowledge RAG Application</t>
        </is>
      </c>
      <c r="F17" s="10">
        <f>HYPERLINK("https://fastapi.tiangolo.com/deployment/docker/", "FastAPI Production Docker Architectures")</f>
        <v/>
      </c>
      <c r="G17" s="11">
        <f>HYPERLINK("https://www.youtube.com/watch?v=tcqEUSNCn8I", "Full End-to-End Capstone Architecture Deployment")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2026-06-01T05:06:52Z</dcterms:created>
  <dcterms:modified xmlns:dcterms="http://purl.org/dc/terms/" xmlns:xsi="http://www.w3.org/2001/XMLSchema-instance" xsi:type="dcterms:W3CDTF">2026-06-01T05:06:52Z</dcterms:modified>
</cp:coreProperties>
</file>