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QL Data Infrastructure" sheetId="1" state="visible" r:id="rId1"/>
    <sheet xmlns:r="http://schemas.openxmlformats.org/officeDocument/2006/relationships" name="NumPy Computational Layer" sheetId="2" state="visible" r:id="rId2"/>
    <sheet xmlns:r="http://schemas.openxmlformats.org/officeDocument/2006/relationships" name="Pandas Data Wrangling" sheetId="3" state="visible" r:id="rId3"/>
    <sheet xmlns:r="http://schemas.openxmlformats.org/officeDocument/2006/relationships" name="Matplotlib Visualization" sheetId="4" state="visible" r:id="rId4"/>
    <sheet xmlns:r="http://schemas.openxmlformats.org/officeDocument/2006/relationships" name="Scikit-Learn Model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b val="1"/>
      <color rgb="00FFFFFF"/>
      <sz val="11"/>
    </font>
    <font>
      <name val="Segoe UI"/>
      <color rgb="00000000"/>
      <sz val="11"/>
    </font>
    <font>
      <name val="Segoe UI"/>
      <b val="1"/>
      <color rgb="00000000"/>
      <sz val="11"/>
    </font>
    <font>
      <name val="Segoe UI"/>
      <color rgb="000563C1"/>
      <sz val="11"/>
      <u val="single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C5282"/>
        <bgColor rgb="002C5282"/>
      </patternFill>
    </fill>
    <fill>
      <patternFill patternType="solid">
        <fgColor rgb="00F7FAFC"/>
        <bgColor rgb="00F7FAFC"/>
      </patternFill>
    </fill>
    <fill>
      <patternFill patternType="solid">
        <fgColor rgb="00EBF8FF"/>
        <bgColor rgb="00EBF8FF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top"/>
    </xf>
    <xf numFmtId="0" fontId="4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4" customWidth="1" min="3" max="3"/>
    <col width="55" customWidth="1" min="4" max="4"/>
    <col width="55" customWidth="1" min="5" max="5"/>
    <col width="28" customWidth="1" min="6" max="6"/>
    <col width="28" customWidth="1" min="7" max="7"/>
  </cols>
  <sheetData>
    <row r="1" ht="40" customHeight="1">
      <c r="A1" s="1" t="inlineStr">
        <is>
          <t>Relational Database Infrastructure &amp; SQL Queries (Days 1 - 7)</t>
        </is>
      </c>
    </row>
    <row r="2"/>
    <row r="3" ht="25" customHeight="1">
      <c r="A3" s="2" t="inlineStr">
        <is>
          <t>Day</t>
        </is>
      </c>
      <c r="B3" s="2" t="inlineStr">
        <is>
          <t>Week</t>
        </is>
      </c>
      <c r="C3" s="2" t="inlineStr">
        <is>
          <t>Topic</t>
        </is>
      </c>
      <c r="D3" s="2" t="inlineStr">
        <is>
          <t>Core Commands &amp; Constraints</t>
        </is>
      </c>
      <c r="E3" s="2" t="inlineStr">
        <is>
          <t>Hands-On Query Practical Target</t>
        </is>
      </c>
      <c r="F3" s="2" t="inlineStr">
        <is>
          <t>Documentation</t>
        </is>
      </c>
      <c r="G3" s="2" t="inlineStr">
        <is>
          <t>YouTube Link</t>
        </is>
      </c>
    </row>
    <row r="4" ht="35" customHeight="1">
      <c r="A4" s="3" t="inlineStr">
        <is>
          <t>Day 01</t>
        </is>
      </c>
      <c r="B4" s="4" t="inlineStr">
        <is>
          <t>Week 1</t>
        </is>
      </c>
      <c r="C4" s="5" t="inlineStr">
        <is>
          <t>SQL Setup &amp; SELECT Basics</t>
        </is>
      </c>
      <c r="D4" s="5" t="inlineStr">
        <is>
          <t>RDBMS models, data types, SELECT statements, WHERE filtering, LIMIT records</t>
        </is>
      </c>
      <c r="E4" s="5" t="inlineStr">
        <is>
          <t>Install PostgreSQL/MySQL, filter transactional logs dynamically</t>
        </is>
      </c>
      <c r="F4" s="6">
        <f>HYPERLINK("https://www.w3schools.com/sql/", "W3Schools SQL Core")</f>
        <v/>
      </c>
      <c r="G4" s="6">
        <f>HYPERLINK("https://www.youtube.com/watch?v=HXV3zeQKqGY", "freeCodeCamp SQL Intro")</f>
        <v/>
      </c>
    </row>
    <row r="5" ht="35" customHeight="1">
      <c r="A5" s="7" t="inlineStr">
        <is>
          <t>Day 02</t>
        </is>
      </c>
      <c r="B5" s="8" t="inlineStr">
        <is>
          <t>Week 1</t>
        </is>
      </c>
      <c r="C5" s="9" t="inlineStr">
        <is>
          <t>Logical Operators &amp; Matching</t>
        </is>
      </c>
      <c r="D5" s="9" t="inlineStr">
        <is>
          <t>AND, OR, NOT, IN, BETWEEN, text searching patterns via LIKE and wildcards</t>
        </is>
      </c>
      <c r="E5" s="9" t="inlineStr">
        <is>
          <t>Query demographic files to extract subset target customer fields</t>
        </is>
      </c>
      <c r="F5" s="10">
        <f>HYPERLINK("https://www.w3schools.com/sql/sql_operators.asp", "SQL Operators Manual")</f>
        <v/>
      </c>
      <c r="G5" s="10">
        <f>HYPERLINK("https://www.youtube.com/watch?v=HXV3zeQKqGY", "SQL Filters Course")</f>
        <v/>
      </c>
    </row>
    <row r="6" ht="35" customHeight="1">
      <c r="A6" s="3" t="inlineStr">
        <is>
          <t>Day 03</t>
        </is>
      </c>
      <c r="B6" s="4" t="inlineStr">
        <is>
          <t>Week 1</t>
        </is>
      </c>
      <c r="C6" s="5" t="inlineStr">
        <is>
          <t>Data Aggregations</t>
        </is>
      </c>
      <c r="D6" s="5" t="inlineStr">
        <is>
          <t>Aggregates (COUNT, SUM, AVG, MIN, MAX), groupings via GROUP BY, filtering partitions via HAVING</t>
        </is>
      </c>
      <c r="E6" s="5" t="inlineStr">
        <is>
          <t>Aggregate corporate sales totals broken out by geographic region parameters</t>
        </is>
      </c>
      <c r="F6" s="6">
        <f>HYPERLINK("https://www.w3schools.com/sql/sql_groupby.asp", "GROUP BY Reference")</f>
        <v/>
      </c>
      <c r="G6" s="6">
        <f>HYPERLINK("https://www.youtube.com/watch?v=HXV3zeQKqGY", "SQL Groupings Tutorial")</f>
        <v/>
      </c>
    </row>
    <row r="7" ht="35" customHeight="1">
      <c r="A7" s="7" t="inlineStr">
        <is>
          <t>Day 04</t>
        </is>
      </c>
      <c r="B7" s="8" t="inlineStr">
        <is>
          <t>Week 1</t>
        </is>
      </c>
      <c r="C7" s="9" t="inlineStr">
        <is>
          <t>Multi-Table Relational Joins</t>
        </is>
      </c>
      <c r="D7" s="9" t="inlineStr">
        <is>
          <t>Data scaling normalization rules, linking records via INNER JOIN and LEFT JOIN</t>
        </is>
      </c>
      <c r="E7" s="9" t="inlineStr">
        <is>
          <t>Combine transactional tables with user profile rows completely</t>
        </is>
      </c>
      <c r="F7" s="10">
        <f>HYPERLINK("https://www.w3schools.com/sql/sql_join.asp", "SQL Joins Guidelines")</f>
        <v/>
      </c>
      <c r="G7" s="10">
        <f>HYPERLINK("https://www.youtube.com/watch?v=HXV3zeQKqGY", "SQL Join Operations")</f>
        <v/>
      </c>
    </row>
    <row r="8" ht="35" customHeight="1">
      <c r="A8" s="3" t="inlineStr">
        <is>
          <t>Day 05</t>
        </is>
      </c>
      <c r="B8" s="4" t="inlineStr">
        <is>
          <t>Week 1</t>
        </is>
      </c>
      <c r="C8" s="5" t="inlineStr">
        <is>
          <t>Advanced Outer &amp; Self Joins</t>
        </is>
      </c>
      <c r="D8" s="5" t="inlineStr">
        <is>
          <t>RIGHT JOIN, FULL OUTER JOIN boundaries, matching table rows back to themselves (Self-Joins)</t>
        </is>
      </c>
      <c r="E8" s="5" t="inlineStr">
        <is>
          <t>Map corporate organizational tree metrics linking employees to manager IDs</t>
        </is>
      </c>
      <c r="F8" s="6">
        <f>HYPERLINK("https://www.w3schools.com/sql/sql_join_full.asp", "Outer Joins Reference")</f>
        <v/>
      </c>
      <c r="G8" s="6">
        <f>HYPERLINK("https://www.youtube.com/watch?v=HXV3zeQKqGY", "Advanced Joins Explanations")</f>
        <v/>
      </c>
    </row>
    <row r="9" ht="35" customHeight="1">
      <c r="A9" s="7" t="inlineStr">
        <is>
          <t>Day 06</t>
        </is>
      </c>
      <c r="B9" s="8" t="inlineStr">
        <is>
          <t>Week 1</t>
        </is>
      </c>
      <c r="C9" s="9" t="inlineStr">
        <is>
          <t>Subqueries &amp; Window Operations</t>
        </is>
      </c>
      <c r="D9" s="9" t="inlineStr">
        <is>
          <t>Nested conditional subqueries, sub-select structures, window parameters (ROW_NUMBER, RANK)</t>
        </is>
      </c>
      <c r="E9" s="9" t="inlineStr">
        <is>
          <t>Rank individual transactional rows inside product segments without losing details</t>
        </is>
      </c>
      <c r="F9" s="10">
        <f>HYPERLINK("https://mode.com/sql-tutorial/sql-subqueries/", "Mode Analytics Subqueries")</f>
        <v/>
      </c>
      <c r="G9" s="10">
        <f>HYPERLINK("https://www.youtube.com/watch?v=HXV3zeQKqGY", "Subqueries Breakdown")</f>
        <v/>
      </c>
    </row>
    <row r="10" ht="35" customHeight="1">
      <c r="A10" s="3" t="inlineStr">
        <is>
          <t>Day 07</t>
        </is>
      </c>
      <c r="B10" s="4" t="inlineStr">
        <is>
          <t>Week 1</t>
        </is>
      </c>
      <c r="C10" s="11" t="inlineStr">
        <is>
          <t>Project: Advanced SQL Analytics</t>
        </is>
      </c>
      <c r="D10" s="5" t="inlineStr">
        <is>
          <t>Common Table Expressions (CTEs), syntax loops, optimizing query speeds</t>
        </is>
      </c>
      <c r="E10" s="11" t="inlineStr">
        <is>
          <t>Project: Query Complex E-Commerce System to Calculate Monthly User Cohort Retentions</t>
        </is>
      </c>
      <c r="F10" s="6">
        <f>HYPERLINK("https://mode.com/sql-tutorial/sql-window-functions/", "Window Functions Guide")</f>
        <v/>
      </c>
      <c r="G10" s="6">
        <f>HYPERLINK("https://www.youtube.com/watch?v=w7viXg6bFwU", "SQL Portfolio Project Case Work")</f>
        <v/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  <col width="55" customWidth="1" min="4" max="4"/>
    <col width="55" customWidth="1" min="5" max="5"/>
    <col width="28" customWidth="1" min="6" max="6"/>
    <col width="28" customWidth="1" min="7" max="7"/>
  </cols>
  <sheetData>
    <row r="1" ht="40" customHeight="1">
      <c r="A1" s="1" t="inlineStr">
        <is>
          <t>Vector Calculations &amp; Multi-Dimensional Matrix Systems (Days 8 - 14)</t>
        </is>
      </c>
    </row>
    <row r="2"/>
    <row r="3" ht="25" customHeight="1">
      <c r="A3" s="2" t="inlineStr">
        <is>
          <t>Day</t>
        </is>
      </c>
      <c r="B3" s="2" t="inlineStr">
        <is>
          <t>Week</t>
        </is>
      </c>
      <c r="C3" s="2" t="inlineStr">
        <is>
          <t>Topic</t>
        </is>
      </c>
      <c r="D3" s="2" t="inlineStr">
        <is>
          <t>Vectorization Mechanics</t>
        </is>
      </c>
      <c r="E3" s="2" t="inlineStr">
        <is>
          <t>Matrix Implementation Coding Task</t>
        </is>
      </c>
      <c r="F3" s="2" t="inlineStr">
        <is>
          <t>Documentation</t>
        </is>
      </c>
      <c r="G3" s="2" t="inlineStr">
        <is>
          <t>YouTube Link</t>
        </is>
      </c>
    </row>
    <row r="4" ht="35" customHeight="1">
      <c r="A4" s="3" t="inlineStr">
        <is>
          <t>Day 08</t>
        </is>
      </c>
      <c r="B4" s="4" t="inlineStr">
        <is>
          <t>Week 2</t>
        </is>
      </c>
      <c r="C4" s="5" t="inlineStr">
        <is>
          <t>NumPy Array Implementations</t>
        </is>
      </c>
      <c r="D4" s="5" t="inlineStr">
        <is>
          <t>Array dimensional shapes, vector data types, initializing elements (zeros, ones, arange)</t>
        </is>
      </c>
      <c r="E4" s="5" t="inlineStr">
        <is>
          <t>Set up local library workspace environment, converting plain list files into NumPy arrays</t>
        </is>
      </c>
      <c r="F4" s="6">
        <f>HYPERLINK("https://numpy.org/doc/stable/user/absolute_beginners.html", "NumPy Beginner Guide")</f>
        <v/>
      </c>
      <c r="G4" s="6">
        <f>HYPERLINK("https://www.youtube.com/watch?v=QUT1VHiHSmM", "Keith Galli NumPy Complete")</f>
        <v/>
      </c>
    </row>
    <row r="5" ht="35" customHeight="1">
      <c r="A5" s="7" t="inlineStr">
        <is>
          <t>Day 09</t>
        </is>
      </c>
      <c r="B5" s="8" t="inlineStr">
        <is>
          <t>Week 2</t>
        </is>
      </c>
      <c r="C5" s="9" t="inlineStr">
        <is>
          <t>Multi-Dimensional Indexing</t>
        </is>
      </c>
      <c r="D5" s="9" t="inlineStr">
        <is>
          <t>Slicing continuous coordinates, multi-axis query blocks, subset matrix copying rules</t>
        </is>
      </c>
      <c r="E5" s="9" t="inlineStr">
        <is>
          <t>Extract targeted inner sub-matrix parameter cells from 4x4 matrix frames</t>
        </is>
      </c>
      <c r="F5" s="10">
        <f>HYPERLINK("https://numpy.org/doc/stable/user/basics.indexing.html", "NumPy Indexing Reference")</f>
        <v/>
      </c>
      <c r="G5" s="10">
        <f>HYPERLINK("https://www.youtube.com/watch?v=QUT1VHiHSmM", "NumPy Arrays Slicing Tutorial")</f>
        <v/>
      </c>
    </row>
    <row r="6" ht="35" customHeight="1">
      <c r="A6" s="3" t="inlineStr">
        <is>
          <t>Day 10</t>
        </is>
      </c>
      <c r="B6" s="4" t="inlineStr">
        <is>
          <t>Week 2</t>
        </is>
      </c>
      <c r="C6" s="5" t="inlineStr">
        <is>
          <t>Vector Math &amp; Universal Functions</t>
        </is>
      </c>
      <c r="D6" s="5" t="inlineStr">
        <is>
          <t>Array-wise element calculations, fast trigonometric operations, aggregate statistics (mean, axis-sums)</t>
        </is>
      </c>
      <c r="E6" s="5" t="inlineStr">
        <is>
          <t>Normalize massive flat matrix observations, dividing cell items across specific column boundaries</t>
        </is>
      </c>
      <c r="F6" s="6">
        <f>HYPERLINK("https://numpy.org/doc/stable/reference/ufuncs.html", "Universal Functions API")</f>
        <v/>
      </c>
      <c r="G6" s="6">
        <f>HYPERLINK("https://www.youtube.com/watch?v=QUT1VHiHSmM", "Vectorized Array Math Operations")</f>
        <v/>
      </c>
    </row>
    <row r="7" ht="35" customHeight="1">
      <c r="A7" s="7" t="inlineStr">
        <is>
          <t>Day 11</t>
        </is>
      </c>
      <c r="B7" s="8" t="inlineStr">
        <is>
          <t>Week 2</t>
        </is>
      </c>
      <c r="C7" s="9" t="inlineStr">
        <is>
          <t>Matrix Broadcasting Properties</t>
        </is>
      </c>
      <c r="D7" s="9" t="inlineStr">
        <is>
          <t>Comparing dimension mismatches, cell expansion rules, memory optimization steps</t>
        </is>
      </c>
      <c r="E7" s="9" t="inlineStr">
        <is>
          <t>Add scalar coordinate adjustments safely onto mismatched multi-row matrix data arrays</t>
        </is>
      </c>
      <c r="F7" s="10">
        <f>HYPERLINK("https://numpy.org/doc/stable/user/basics.broadcasting.html", "Broadcasting Matrix Guidelines")</f>
        <v/>
      </c>
      <c r="G7" s="10">
        <f>HYPERLINK("https://www.youtube.com/watch?v=QUT1VHiHSmM", "Broadcasting Logic Visually")</f>
        <v/>
      </c>
    </row>
    <row r="8" ht="35" customHeight="1">
      <c r="A8" s="3" t="inlineStr">
        <is>
          <t>Day 12</t>
        </is>
      </c>
      <c r="B8" s="4" t="inlineStr">
        <is>
          <t>Week 2</t>
        </is>
      </c>
      <c r="C8" s="5" t="inlineStr">
        <is>
          <t>Structural Array Alterations</t>
        </is>
      </c>
      <c r="D8" s="5" t="inlineStr">
        <is>
          <t>Array reshaping conversions, transposition tasks, stacking layers (hstack, vstack, concatenate)</t>
        </is>
      </c>
      <c r="E8" s="5" t="inlineStr">
        <is>
          <t>Flatten complex multi-dimensional visual input channel blocks down to simple data frames</t>
        </is>
      </c>
      <c r="F8" s="6">
        <f>HYPERLINK("https://numpy.org/doc/stable/reference/routines.shape.html", "Array Shape Manipulations")</f>
        <v/>
      </c>
      <c r="G8" s="6">
        <f>HYPERLINK("https://www.youtube.com/watch?v=QUT1VHiHSmM", "Reshaping Arrays Walkthrough")</f>
        <v/>
      </c>
    </row>
    <row r="9" ht="35" customHeight="1">
      <c r="A9" s="7" t="inlineStr">
        <is>
          <t>Day 13</t>
        </is>
      </c>
      <c r="B9" s="8" t="inlineStr">
        <is>
          <t>Week 2</t>
        </is>
      </c>
      <c r="C9" s="9" t="inlineStr">
        <is>
          <t>Boolean Masking Logic</t>
        </is>
      </c>
      <c r="D9" s="9" t="inlineStr">
        <is>
          <t>Conditional array screening tests, row extractions, filtering index arrays via criteria</t>
        </is>
      </c>
      <c r="E9" s="9" t="inlineStr">
        <is>
          <t>Extract all numerical vector values from corrupted record lines exceeding standard outliers</t>
        </is>
      </c>
      <c r="F9" s="10">
        <f>HYPERLINK("https://numpy.org/doc/stable/user/basics.indexing.html#boolean-array-indexing", "Boolean Mask Indexes")</f>
        <v/>
      </c>
      <c r="G9" s="10">
        <f>HYPERLINK("https://www.youtube.com/watch?v=QUT1VHiHSmM", "Filtering Array Rows via Masks")</f>
        <v/>
      </c>
    </row>
    <row r="10" ht="35" customHeight="1">
      <c r="A10" s="3" t="inlineStr">
        <is>
          <t>Day 14</t>
        </is>
      </c>
      <c r="B10" s="4" t="inlineStr">
        <is>
          <t>Week 2</t>
        </is>
      </c>
      <c r="C10" s="11" t="inlineStr">
        <is>
          <t>Project: Mathematical Matrix Solver</t>
        </is>
      </c>
      <c r="D10" s="5" t="inlineStr">
        <is>
          <t>Linear systems operations, vector dot products, manual calculation checks</t>
        </is>
      </c>
      <c r="E10" s="11" t="inlineStr">
        <is>
          <t>Project: Build and Script an Automated Vector Solver Engine Checking Matrix Equations from Scratch</t>
        </is>
      </c>
      <c r="F10" s="6">
        <f>HYPERLINK("https://numpy.org/doc/stable/reference/routines.linalg.html", "NumPy Linear Algebra Hub")</f>
        <v/>
      </c>
      <c r="G10" s="6">
        <f>HYPERLINK("https://www.youtube.com/watch?v=PaFPbb66DxQ", "Matrix Algebra Implementation Engine")</f>
        <v/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7" customWidth="1" min="3" max="3"/>
    <col width="55" customWidth="1" min="4" max="4"/>
    <col width="55" customWidth="1" min="5" max="5"/>
    <col width="28" customWidth="1" min="6" max="6"/>
    <col width="28" customWidth="1" min="7" max="7"/>
  </cols>
  <sheetData>
    <row r="1" ht="40" customHeight="1">
      <c r="A1" s="1" t="inlineStr">
        <is>
          <t>Tabular Cleansing Pipelines &amp; Advanced Data Frame Analytics (Days 15 - 21)</t>
        </is>
      </c>
    </row>
    <row r="2"/>
    <row r="3" ht="25" customHeight="1">
      <c r="A3" s="2" t="inlineStr">
        <is>
          <t>Day</t>
        </is>
      </c>
      <c r="B3" s="2" t="inlineStr">
        <is>
          <t>Week</t>
        </is>
      </c>
      <c r="C3" s="2" t="inlineStr">
        <is>
          <t>Topic</t>
        </is>
      </c>
      <c r="D3" s="2" t="inlineStr">
        <is>
          <t>Data Wrangling Architectures</t>
        </is>
      </c>
      <c r="E3" s="2" t="inlineStr">
        <is>
          <t>Hands-On File Manipulation Task</t>
        </is>
      </c>
      <c r="F3" s="2" t="inlineStr">
        <is>
          <t>Documentation</t>
        </is>
      </c>
      <c r="G3" s="2" t="inlineStr">
        <is>
          <t>YouTube Link</t>
        </is>
      </c>
    </row>
    <row r="4" ht="35" customHeight="1">
      <c r="A4" s="3" t="inlineStr">
        <is>
          <t>Day 15</t>
        </is>
      </c>
      <c r="B4" s="4" t="inlineStr">
        <is>
          <t>Week 3</t>
        </is>
      </c>
      <c r="C4" s="5" t="inlineStr">
        <is>
          <t>Pandas Data Ingestions</t>
        </is>
      </c>
      <c r="D4" s="5" t="inlineStr">
        <is>
          <t>Series classes, DataFrame structures, loading file formats (read_csv, read_excel, read_json)</t>
        </is>
      </c>
      <c r="E4" s="5" t="inlineStr">
        <is>
          <t>Ingest coarse raw tabular dataset profiles into interactive runtime frames</t>
        </is>
      </c>
      <c r="F4" s="6">
        <f>HYPERLINK("https://pandas.pydata.org/docs/user_guide/dsintro.html", "Pandas Data Structures")</f>
        <v/>
      </c>
      <c r="G4" s="6">
        <f>HYPERLINK("https://www.youtube.com/watch?v=ZyhVh-qRZPA", "Keith Galli Pandas Core Series")</f>
        <v/>
      </c>
    </row>
    <row r="5" ht="35" customHeight="1">
      <c r="A5" s="7" t="inlineStr">
        <is>
          <t>Day 16</t>
        </is>
      </c>
      <c r="B5" s="8" t="inlineStr">
        <is>
          <t>Week 3</t>
        </is>
      </c>
      <c r="C5" s="9" t="inlineStr">
        <is>
          <t>Filtering &amp; Explicit Selection</t>
        </is>
      </c>
      <c r="D5" s="9" t="inlineStr">
        <is>
          <t>Indexing locations via loc and iloc, compound masking statements, sorting indices</t>
        </is>
      </c>
      <c r="E5" s="9" t="inlineStr">
        <is>
          <t>Isolate specific row entities meeting custom demographic and sales timeline ranges</t>
        </is>
      </c>
      <c r="F5" s="10">
        <f>HYPERLINK("https://pandas.pydata.org/docs/user_guide/indexing.html", "Pandas Indexing Guides")</f>
        <v/>
      </c>
      <c r="G5" s="10">
        <f>HYPERLINK("https://www.youtube.com/watch?v=ZyhVh-qRZPA", "Pandas Row Filtering Tutorials")</f>
        <v/>
      </c>
    </row>
    <row r="6" ht="35" customHeight="1">
      <c r="A6" s="3" t="inlineStr">
        <is>
          <t>Day 17</t>
        </is>
      </c>
      <c r="B6" s="4" t="inlineStr">
        <is>
          <t>Week 3</t>
        </is>
      </c>
      <c r="C6" s="5" t="inlineStr">
        <is>
          <t>Processing Corrupted Columns</t>
        </is>
      </c>
      <c r="D6" s="5" t="inlineStr">
        <is>
          <t>Locating empty rows via isnull, cell replacements via fillna, removing records via dropna</t>
        </is>
      </c>
      <c r="E6" s="5" t="inlineStr">
        <is>
          <t>Construct an automated cleansing pipe replacing missing cells with column median values</t>
        </is>
      </c>
      <c r="F6" s="6">
        <f>HYPERLINK("https://pandas.pydata.org/docs/user_guide/missing_data.html", "Handling Empty Fields")</f>
        <v/>
      </c>
      <c r="G6" s="6">
        <f>HYPERLINK("https://www.youtube.com/watch?v=ZyhVh-qRZPA", "Cleaning Missing Records")</f>
        <v/>
      </c>
    </row>
    <row r="7" ht="35" customHeight="1">
      <c r="A7" s="7" t="inlineStr">
        <is>
          <t>Day 18</t>
        </is>
      </c>
      <c r="B7" s="8" t="inlineStr">
        <is>
          <t>Week 3</t>
        </is>
      </c>
      <c r="C7" s="9" t="inlineStr">
        <is>
          <t>Feature Creation &amp; Mapping</t>
        </is>
      </c>
      <c r="D7" s="9" t="inlineStr">
        <is>
          <t>Applying functional mappings via apply, string mutations, transforming numeric data lines</t>
        </is>
      </c>
      <c r="E7" s="9" t="inlineStr">
        <is>
          <t>Convert continuous transaction columns into categorized string feature groups dynamically</t>
        </is>
      </c>
      <c r="F7" s="10">
        <f>HYPERLINK("https://pandas.pydata.org/docs/user_guide/basics.html#function-application", "Pandas Functional Maps")</f>
        <v/>
      </c>
      <c r="G7" s="10">
        <f>HYPERLINK("https://www.youtube.com/watch?v=ZyhVh-qRZPA", "Data Transformations in Columns")</f>
        <v/>
      </c>
    </row>
    <row r="8" ht="35" customHeight="1">
      <c r="A8" s="3" t="inlineStr">
        <is>
          <t>Day 19</t>
        </is>
      </c>
      <c r="B8" s="4" t="inlineStr">
        <is>
          <t>Week 3</t>
        </is>
      </c>
      <c r="C8" s="5" t="inlineStr">
        <is>
          <t>Aggregating &amp; Grouping Blocks</t>
        </is>
      </c>
      <c r="D8" s="5" t="inlineStr">
        <is>
          <t>Splitting parameters via groupby, multiple aggregations (agg), custom summary counts</t>
        </is>
      </c>
      <c r="E8" s="5" t="inlineStr">
        <is>
          <t>Compute multi-layer operational metrics showing corporate performance by item segments</t>
        </is>
      </c>
      <c r="F8" s="6">
        <f>HYPERLINK("https://pandas.pydata.org/docs/user_guide/groupby.html", "Groupby Process Manual")</f>
        <v/>
      </c>
      <c r="G8" s="6">
        <f>HYPERLINK("https://www.youtube.com/watch?v=ZyhVh-qRZPA", "Advanced Data Groupings Setup")</f>
        <v/>
      </c>
    </row>
    <row r="9" ht="35" customHeight="1">
      <c r="A9" s="7" t="inlineStr">
        <is>
          <t>Day 20</t>
        </is>
      </c>
      <c r="B9" s="8" t="inlineStr">
        <is>
          <t>Week 3</t>
        </is>
      </c>
      <c r="C9" s="9" t="inlineStr">
        <is>
          <t>Merging &amp; Dataset Reshaping</t>
        </is>
      </c>
      <c r="D9" s="9" t="inlineStr">
        <is>
          <t>Merging keys, stacking data frames via concat, unpivoting cross-tabs via melt and pivot</t>
        </is>
      </c>
      <c r="E9" s="9" t="inlineStr">
        <is>
          <t>Combine customer support interaction log frames with transactional record fields</t>
        </is>
      </c>
      <c r="F9" s="10">
        <f>HYPERLINK("https://pandas.pydata.org/docs/user_guide/merging.html", "Combining Datasets API")</f>
        <v/>
      </c>
      <c r="G9" s="10">
        <f>HYPERLINK("https://www.youtube.com/watch?v=ZyhVh-qRZPA", "Merging Table Columns Guide")</f>
        <v/>
      </c>
    </row>
    <row r="10" ht="35" customHeight="1">
      <c r="A10" s="3" t="inlineStr">
        <is>
          <t>Day 21</t>
        </is>
      </c>
      <c r="B10" s="4" t="inlineStr">
        <is>
          <t>Week 3</t>
        </is>
      </c>
      <c r="C10" s="11" t="inlineStr">
        <is>
          <t>Project: Exploratory Data Cleaning</t>
        </is>
      </c>
      <c r="D10" s="5" t="inlineStr">
        <is>
          <t>Outlier parsing boundaries via IQR rules, clean profiling exports</t>
        </is>
      </c>
      <c r="E10" s="11" t="inlineStr">
        <is>
          <t>Project: Load and Preprocess Messy Raw Customer Behavioral Datasets with automated validation pipelines</t>
        </is>
      </c>
      <c r="F10" s="6">
        <f>HYPERLINK("https://pandas.pydata.org/docs/user_guide/index.html", "Complete Pandas Manual Hub")</f>
        <v/>
      </c>
      <c r="G10" s="6">
        <f>HYPERLINK("https://www.youtube.com/watch?v=bDhvCp3_lYw", "EDA Real-World Analytical Projects")</f>
        <v/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55" customWidth="1" min="4" max="4"/>
    <col width="55" customWidth="1" min="5" max="5"/>
    <col width="28" customWidth="1" min="6" max="6"/>
    <col width="28" customWidth="1" min="7" max="7"/>
  </cols>
  <sheetData>
    <row r="1" ht="40" customHeight="1">
      <c r="A1" s="1" t="inlineStr">
        <is>
          <t>Analytical Visual Charts &amp; High-Fidelity Plot Dashboards (Days 22 - 28)</t>
        </is>
      </c>
    </row>
    <row r="2"/>
    <row r="3" ht="25" customHeight="1">
      <c r="A3" s="2" t="inlineStr">
        <is>
          <t>Day</t>
        </is>
      </c>
      <c r="B3" s="2" t="inlineStr">
        <is>
          <t>Week</t>
        </is>
      </c>
      <c r="C3" s="2" t="inlineStr">
        <is>
          <t>Topic</t>
        </is>
      </c>
      <c r="D3" s="2" t="inlineStr">
        <is>
          <t>Data Visualizations &amp; Plot Formatting</t>
        </is>
      </c>
      <c r="E3" s="2" t="inlineStr">
        <is>
          <t>Hands-On Visualization Output</t>
        </is>
      </c>
      <c r="F3" s="2" t="inlineStr">
        <is>
          <t>Documentation</t>
        </is>
      </c>
      <c r="G3" s="2" t="inlineStr">
        <is>
          <t>YouTube Link</t>
        </is>
      </c>
    </row>
    <row r="4" ht="35" customHeight="1">
      <c r="A4" s="3" t="inlineStr">
        <is>
          <t>Day 22</t>
        </is>
      </c>
      <c r="B4" s="4" t="inlineStr">
        <is>
          <t>Week 4</t>
        </is>
      </c>
      <c r="C4" s="5" t="inlineStr">
        <is>
          <t>Functional Plotting Foundations</t>
        </is>
      </c>
      <c r="D4" s="5" t="inlineStr">
        <is>
          <t>Figure canvases, axes instantiation, plot canvas rendering, layout styles</t>
        </is>
      </c>
      <c r="E4" s="5" t="inlineStr">
        <is>
          <t>Generate structured continuous line metrics charting feature values over target times</t>
        </is>
      </c>
      <c r="F4" s="6">
        <f>HYPERLINK("https://matplotlib.org/stable/users/explain/quick_start.html", "Matplotlib Quick Start")</f>
        <v/>
      </c>
      <c r="G4" s="6">
        <f>HYPERLINK("https://www.youtube.com/watch?v=wB9C0Mz9gSo", "Corey Schafer Matplotlib Course")</f>
        <v/>
      </c>
    </row>
    <row r="5" ht="35" customHeight="1">
      <c r="A5" s="7" t="inlineStr">
        <is>
          <t>Day 23</t>
        </is>
      </c>
      <c r="B5" s="8" t="inlineStr">
        <is>
          <t>Week 4</t>
        </is>
      </c>
      <c r="C5" s="9" t="inlineStr">
        <is>
          <t>Plot Customization Elements</t>
        </is>
      </c>
      <c r="D5" s="9" t="inlineStr">
        <is>
          <t>Titling charts, dynamic labels, grid alignments, legend insertions, custom chart palettes</t>
        </is>
      </c>
      <c r="E5" s="9" t="inlineStr">
        <is>
          <t>Format your visual axes explicitly using specific font parameters and color palettes</t>
        </is>
      </c>
      <c r="F5" s="10">
        <f>HYPERLINK("https://matplotlib.org/stable/api/axes_api.html", "Axes Configurations Reference")</f>
        <v/>
      </c>
      <c r="G5" s="10">
        <f>HYPERLINK("https://www.youtube.com/watch?v=wB9C0Mz9gSo", "Styling Chart Labels and Grids")</f>
        <v/>
      </c>
    </row>
    <row r="6" ht="35" customHeight="1">
      <c r="A6" s="3" t="inlineStr">
        <is>
          <t>Day 24</t>
        </is>
      </c>
      <c r="B6" s="4" t="inlineStr">
        <is>
          <t>Week 4</t>
        </is>
      </c>
      <c r="C6" s="5" t="inlineStr">
        <is>
          <t>Distribution Frequency Charts</t>
        </is>
      </c>
      <c r="D6" s="5" t="inlineStr">
        <is>
          <t>Histogram setups, adjustable density bins, box-and-whisker distributions, marking indicators</t>
        </is>
      </c>
      <c r="E6" s="5" t="inlineStr">
        <is>
          <t>Graph product distribution ranges to inspect feature data variations and catch outliers</t>
        </is>
      </c>
      <c r="F6" s="6">
        <f>HYPERLINK("https://matplotlib.org/stable/api/_as_gen/matplotlib.pyplot.hist.html", "Histograms Reference API")</f>
        <v/>
      </c>
      <c r="G6" s="6">
        <f>HYPERLINK("https://www.youtube.com/watch?v=wB9C0Mz9gSo", "Histograms and Box Plots Guide")</f>
        <v/>
      </c>
    </row>
    <row r="7" ht="35" customHeight="1">
      <c r="A7" s="7" t="inlineStr">
        <is>
          <t>Day 25</t>
        </is>
      </c>
      <c r="B7" s="8" t="inlineStr">
        <is>
          <t>Week 4</t>
        </is>
      </c>
      <c r="C7" s="9" t="inlineStr">
        <is>
          <t>Categorical Group Compositions</t>
        </is>
      </c>
      <c r="D7" s="9" t="inlineStr">
        <is>
          <t>Bar chart metrics, multi-group alignments, pie chart sections, percentage markers</t>
        </is>
      </c>
      <c r="E7" s="9" t="inlineStr">
        <is>
          <t>Compare operational metrics across varied product categories visually using group spacing rules</t>
        </is>
      </c>
      <c r="F7" s="10">
        <f>HYPERLINK("https://matplotlib.org/stable/api/_as_gen/matplotlib.pyplot.bar.html", "Bar Chart Configurations")</f>
        <v/>
      </c>
      <c r="G7" s="10">
        <f>HYPERLINK("https://www.youtube.com/watch?v=wB9C0Mz9gSo", "Bar Chart Groups Setup")</f>
        <v/>
      </c>
    </row>
    <row r="8" ht="35" customHeight="1">
      <c r="A8" s="3" t="inlineStr">
        <is>
          <t>Day 26</t>
        </is>
      </c>
      <c r="B8" s="4" t="inlineStr">
        <is>
          <t>Week 4</t>
        </is>
      </c>
      <c r="C8" s="5" t="inlineStr">
        <is>
          <t>Spatial Correlation Plots</t>
        </is>
      </c>
      <c r="D8" s="5" t="inlineStr">
        <is>
          <t>Scatter plots, markers scaling, variable transparency alpha settings, overlay lines</t>
        </is>
      </c>
      <c r="E8" s="5" t="inlineStr">
        <is>
          <t>Construct custom scatter distributions tracking user interaction counts against metrics</t>
        </is>
      </c>
      <c r="F8" s="6">
        <f>HYPERLINK("https://matplotlib.org/stable/api/_as_gen/matplotlib.pyplot.scatter.html", "Scatter Plots Documentation")</f>
        <v/>
      </c>
      <c r="G8" s="6">
        <f>HYPERLINK("https://www.youtube.com/watch?v=wB9C0Mz9gSo", "Scatter Plot Core Applications")</f>
        <v/>
      </c>
    </row>
    <row r="9" ht="35" customHeight="1">
      <c r="A9" s="7" t="inlineStr">
        <is>
          <t>Day 27</t>
        </is>
      </c>
      <c r="B9" s="8" t="inlineStr">
        <is>
          <t>Week 4</t>
        </is>
      </c>
      <c r="C9" s="9" t="inlineStr">
        <is>
          <t>Multi-Panel Subplot Grids</t>
        </is>
      </c>
      <c r="D9" s="9" t="inlineStr">
        <is>
          <t>Subplot arrays (plt.subplots), axis grids mapping, sharing dimensions, figure scaling</t>
        </is>
      </c>
      <c r="E9" s="9" t="inlineStr">
        <is>
          <t>Construct unified multi-chart dashboard views showing lines, bars, and boxes side-by-side</t>
        </is>
      </c>
      <c r="F9" s="10">
        <f>HYPERLINK("https://matplotlib.org/stable/gallery/subplots_axes_and_figures/subplots_demo.html", "Subplots Grid Layouts")</f>
        <v/>
      </c>
      <c r="G9" s="10">
        <f>HYPERLINK("https://www.youtube.com/watch?v=wB9C0Mz9gSo", "Subplots Canvas Architecture")</f>
        <v/>
      </c>
    </row>
    <row r="10" ht="35" customHeight="1">
      <c r="A10" s="3" t="inlineStr">
        <is>
          <t>Day 28</t>
        </is>
      </c>
      <c r="B10" s="4" t="inlineStr">
        <is>
          <t>Week 4</t>
        </is>
      </c>
      <c r="C10" s="11" t="inlineStr">
        <is>
          <t>Project: Statistical Report Dashboard</t>
        </is>
      </c>
      <c r="D10" s="5" t="inlineStr">
        <is>
          <t>Figure exports (savefig), clean visual polish guidelines, plot groupings</t>
        </is>
      </c>
      <c r="E10" s="11" t="inlineStr">
        <is>
          <t>Project: Construct a Highly Polished Multi-Axis Scientific Report Dashboard Ready for Product Publications</t>
        </is>
      </c>
      <c r="F10" s="6">
        <f>HYPERLINK("https://matplotlib.org/stable/gallery/index.html", "Matplotlib Gallery Hub")</f>
        <v/>
      </c>
      <c r="G10" s="6">
        <f>HYPERLINK("https://www.youtube.com/watch?v=wB9C0Mz9gSo", "Exporting Custom Dashboard Assets")</f>
        <v/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7" customWidth="1" min="3" max="3"/>
    <col width="55" customWidth="1" min="4" max="4"/>
    <col width="55" customWidth="1" min="5" max="5"/>
    <col width="28" customWidth="1" min="6" max="6"/>
    <col width="28" customWidth="1" min="7" max="7"/>
  </cols>
  <sheetData>
    <row r="1" ht="40" customHeight="1">
      <c r="A1" s="1" t="inlineStr">
        <is>
          <t>Supervised Machine Learning Estimators &amp; Hyperparameter Optimizations (Days 29 - 35)</t>
        </is>
      </c>
    </row>
    <row r="2"/>
    <row r="3" ht="25" customHeight="1">
      <c r="A3" s="2" t="inlineStr">
        <is>
          <t>Day</t>
        </is>
      </c>
      <c r="B3" s="2" t="inlineStr">
        <is>
          <t>Week</t>
        </is>
      </c>
      <c r="C3" s="2" t="inlineStr">
        <is>
          <t>Topic</t>
        </is>
      </c>
      <c r="D3" s="2" t="inlineStr">
        <is>
          <t>Algorithmic Pipelines &amp; Modeling</t>
        </is>
      </c>
      <c r="E3" s="2" t="inlineStr">
        <is>
          <t>Machine Learning Pipeline Coding Target</t>
        </is>
      </c>
      <c r="F3" s="2" t="inlineStr">
        <is>
          <t>Documentation</t>
        </is>
      </c>
      <c r="G3" s="2" t="inlineStr">
        <is>
          <t>YouTube Link</t>
        </is>
      </c>
    </row>
    <row r="4" ht="35" customHeight="1">
      <c r="A4" s="3" t="inlineStr">
        <is>
          <t>Day 29</t>
        </is>
      </c>
      <c r="B4" s="4" t="inlineStr">
        <is>
          <t>Week 5</t>
        </is>
      </c>
      <c r="C4" s="5" t="inlineStr">
        <is>
          <t>Supervised Data Preparation</t>
        </is>
      </c>
      <c r="D4" s="5" t="inlineStr">
        <is>
          <t>Dataset splitting configurations (train_test_split), categorical encoding transformers, standard feature scaling</t>
        </is>
      </c>
      <c r="E4" s="5" t="inlineStr">
        <is>
          <t>Process raw feature arrays through uniform scaling matrices before running modeling pipelines</t>
        </is>
      </c>
      <c r="F4" s="6">
        <f>HYPERLINK("https://scikit-learn.org/stable/modules/preprocessing.html", "Scikit Preprocessing Core")</f>
        <v/>
      </c>
      <c r="G4" s="6">
        <f>HYPERLINK("https://www.youtube.com/playlist?list=PLblh5JKOoLUICTaGLRoHQDuF_7q2GfuJF", "StatQuest Scikit-Learn Introduction")</f>
        <v/>
      </c>
    </row>
    <row r="5" ht="35" customHeight="1">
      <c r="A5" s="7" t="inlineStr">
        <is>
          <t>Day 30</t>
        </is>
      </c>
      <c r="B5" s="8" t="inlineStr">
        <is>
          <t>Week 5</t>
        </is>
      </c>
      <c r="C5" s="9" t="inlineStr">
        <is>
          <t>Supervised Regression Modeling</t>
        </is>
      </c>
      <c r="D5" s="9" t="inlineStr">
        <is>
          <t>Ordinary Least Squares LinearRegression, fit optimizations, intercept tracking, checking model attributes</t>
        </is>
      </c>
      <c r="E5" s="9" t="inlineStr">
        <is>
          <t>Build and fit a predictive regression model tracking feature correlations to metric outputs</t>
        </is>
      </c>
      <c r="F5" s="10">
        <f>HYPERLINK("https://scikit-learn.org/stable/modules/linear_model.html#ordinary-least-squares", "Linear Regression API")</f>
        <v/>
      </c>
      <c r="G5" s="10">
        <f>HYPERLINK("https://www.youtube.com/playlist?list=PLblh5JKOoLUICTaGLRoHQDuF_7q2GfuJF", "Linear Regression In Code")</f>
        <v/>
      </c>
    </row>
    <row r="6" ht="35" customHeight="1">
      <c r="A6" s="3" t="inlineStr">
        <is>
          <t>Day 31</t>
        </is>
      </c>
      <c r="B6" s="4" t="inlineStr">
        <is>
          <t>Week 5</t>
        </is>
      </c>
      <c r="C6" s="5" t="inlineStr">
        <is>
          <t>Regression Model Verifications</t>
        </is>
      </c>
      <c r="D6" s="5" t="inlineStr">
        <is>
          <t>Computing evaluation metrics (mean_absolute_error, mean_squared_error, r2_score), checking loss parameters</t>
        </is>
      </c>
      <c r="E6" s="5" t="inlineStr">
        <is>
          <t>Evaluate feature model scores, measuring total predictive variance drops against test files</t>
        </is>
      </c>
      <c r="F6" s="6">
        <f>HYPERLINK("https://scikit-learn.org/stable/modules/model_evaluation.html#regression-metrics", "Regression Scoring Manual")</f>
        <v/>
      </c>
      <c r="G6" s="6">
        <f>HYPERLINK("https://www.youtube.com/playlist?list=PLKnIA16_RmvbAl7lyqVvRI-cz3BwAd3mU", "Regression Model Metrics Code")</f>
        <v/>
      </c>
    </row>
    <row r="7" ht="35" customHeight="1">
      <c r="A7" s="7" t="inlineStr">
        <is>
          <t>Day 32</t>
        </is>
      </c>
      <c r="B7" s="8" t="inlineStr">
        <is>
          <t>Week 5</t>
        </is>
      </c>
      <c r="C7" s="9" t="inlineStr">
        <is>
          <t>Supervised Probability Classifiers</t>
        </is>
      </c>
      <c r="D7" s="9" t="inlineStr">
        <is>
          <t>LogisticRegression classification modeling, threshold probabilities, log-loss updates</t>
        </is>
      </c>
      <c r="E7" s="9" t="inlineStr">
        <is>
          <t>Construct binary risk categorization model estimating outcome chances across test arrays</t>
        </is>
      </c>
      <c r="F7" s="10">
        <f>HYPERLINK("https://scikit-learn.org/stable/modules/linear_model.html#logistic-regression", "Logistic Regression Docs")</f>
        <v/>
      </c>
      <c r="G7" s="10">
        <f>HYPERLINK("https://www.youtube.com/playlist?list=PLblh5JKOoLUICTaGLRoHQDuF_7q2GfuJF", "Logistic Regression Deep Dive")</f>
        <v/>
      </c>
    </row>
    <row r="8" ht="35" customHeight="1">
      <c r="A8" s="3" t="inlineStr">
        <is>
          <t>Day 33</t>
        </is>
      </c>
      <c r="B8" s="4" t="inlineStr">
        <is>
          <t>Week 5</t>
        </is>
      </c>
      <c r="C8" s="5" t="inlineStr">
        <is>
          <t>Classification Matrix Checks</t>
        </is>
      </c>
      <c r="D8" s="5" t="inlineStr">
        <is>
          <t>Extracting confusion_matrix elements, computing precision_score, recall_score, F1-scores, ROC-AUC models</t>
        </is>
      </c>
      <c r="E8" s="5" t="inlineStr">
        <is>
          <t>Evaluate highly skewed target fields, balancing precision bounds to optimize custom classification paths</t>
        </is>
      </c>
      <c r="F8" s="6">
        <f>HYPERLINK("https://scikit-learn.org/stable/modules/model_evaluation.html#classification-metrics", "Classification Metrics API")</f>
        <v/>
      </c>
      <c r="G8" s="6">
        <f>HYPERLINK("https://www.youtube.com/playlist?list=PLblh5JKOoLUICTaGLRoHQDuF_7q2GfuJF", "Confusion Matrix Evaluations")</f>
        <v/>
      </c>
    </row>
    <row r="9" ht="35" customHeight="1">
      <c r="A9" s="7" t="inlineStr">
        <is>
          <t>Day 34</t>
        </is>
      </c>
      <c r="B9" s="8" t="inlineStr">
        <is>
          <t>Week 5</t>
        </is>
      </c>
      <c r="C9" s="9" t="inlineStr">
        <is>
          <t>Ensemble Tree Architectures</t>
        </is>
      </c>
      <c r="D9" s="9" t="inlineStr">
        <is>
          <t>RandomForestClassifier parameters, bootstrapping processes, feature subspace limitations, checking model importance scores</t>
        </is>
      </c>
      <c r="E9" s="9" t="inlineStr">
        <is>
          <t>Train robust ensemble forest pipelines, logging feature weight scores across custom customer classes</t>
        </is>
      </c>
      <c r="F9" s="10">
        <f>HYPERLINK("https://scikit-learn.org/stable/modules/ensemble.html#forests-of-randomized-trees", "Random Forests Documentation")</f>
        <v/>
      </c>
      <c r="G9" s="10">
        <f>HYPERLINK("https://www.youtube.com/playlist?list=PLblh5JKOoLUICTaGLRoHQDuF_7q2GfuJF", "Random Forests Code Builds")</f>
        <v/>
      </c>
    </row>
    <row r="10" ht="35" customHeight="1">
      <c r="A10" s="3" t="inlineStr">
        <is>
          <t>Day 35</t>
        </is>
      </c>
      <c r="B10" s="4" t="inlineStr">
        <is>
          <t>Week 5</t>
        </is>
      </c>
      <c r="C10" s="11" t="inlineStr">
        <is>
          <t>Project: Machine Learning Pipeline</t>
        </is>
      </c>
      <c r="D10" s="5" t="inlineStr">
        <is>
          <t>Assembling pipeline layers via Pipeline blocks, tuning hyperparameter loops using GridSearchCV grids</t>
        </is>
      </c>
      <c r="E10" s="11" t="inlineStr">
        <is>
          <t>Project: Code and Deploy an End-to-End Supervised Predictive Analytical Pipeline With Grid Hyperparameter Adjustments</t>
        </is>
      </c>
      <c r="F10" s="6">
        <f>HYPERLINK("https://scikit-learn.org/stable/modules/grid_search.html", "GridSearchCV Reference Guide")</f>
        <v/>
      </c>
      <c r="G10" s="6">
        <f>HYPERLINK("https://www.youtube.com/watch?v=0B5eIE_1vpU", "Machine Learning Pipeline Projects")</f>
        <v/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2026-06-01T05:10:44Z</dcterms:created>
  <dcterms:modified xmlns:dcterms="http://purl.org/dc/terms/" xmlns:xsi="http://www.w3.org/2001/XMLSchema-instance" xsi:type="dcterms:W3CDTF">2026-06-01T05:10:44Z</dcterms:modified>
</cp:coreProperties>
</file>