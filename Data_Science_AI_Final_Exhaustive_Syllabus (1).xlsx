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ematics &amp; Stats" sheetId="1" state="visible" r:id="rId1"/>
    <sheet xmlns:r="http://schemas.openxmlformats.org/officeDocument/2006/relationships" name="SQL Data Infrastructure" sheetId="2" state="visible" r:id="rId2"/>
    <sheet xmlns:r="http://schemas.openxmlformats.org/officeDocument/2006/relationships" name="Python &amp; Core Libraries" sheetId="3" state="visible" r:id="rId3"/>
    <sheet xmlns:r="http://schemas.openxmlformats.org/officeDocument/2006/relationships" name="Power BI" sheetId="4" state="visible" r:id="rId4"/>
    <sheet xmlns:r="http://schemas.openxmlformats.org/officeDocument/2006/relationships" name="Machine Learning" sheetId="5" state="visible" r:id="rId5"/>
    <sheet xmlns:r="http://schemas.openxmlformats.org/officeDocument/2006/relationships" name="Reinforcement Learning" sheetId="6" state="visible" r:id="rId6"/>
    <sheet xmlns:r="http://schemas.openxmlformats.org/officeDocument/2006/relationships" name="Deep Learning Architectures" sheetId="7" state="visible" r:id="rId7"/>
    <sheet xmlns:r="http://schemas.openxmlformats.org/officeDocument/2006/relationships" name="Generative A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000000"/>
      <sz val="11"/>
    </font>
    <font>
      <name val="Segoe UI"/>
      <color rgb="000563C1"/>
      <sz val="11"/>
      <u val="single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5282"/>
        <bgColor rgb="002C5282"/>
      </patternFill>
    </fill>
    <fill>
      <patternFill patternType="solid">
        <fgColor rgb="00F7FAFC"/>
        <bgColor rgb="00F7FAFC"/>
      </patternFill>
    </fill>
    <fill>
      <patternFill patternType="solid">
        <fgColor rgb="00EBF8FF"/>
        <bgColor rgb="00EBF8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55" customWidth="1" min="4" max="4"/>
    <col width="55" customWidth="1" min="5" max="5"/>
    <col width="55" customWidth="1" min="6" max="6"/>
    <col width="21" customWidth="1" min="7" max="7"/>
    <col width="21" customWidth="1" min="8" max="8"/>
  </cols>
  <sheetData>
    <row r="1" ht="40" customHeight="1">
      <c r="A1" s="1" t="inlineStr">
        <is>
          <t>Mathematical Systems &amp; Advanced Statistical Frameworks (Days 1 - 14)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Core Concepts &amp; Formulas</t>
        </is>
      </c>
      <c r="E3" s="2" t="inlineStr">
        <is>
          <t>Purpose (Why Learn This?)</t>
        </is>
      </c>
      <c r="F3" s="2" t="inlineStr">
        <is>
          <t>Hands-on Practical / Proof Work</t>
        </is>
      </c>
      <c r="G3" s="2" t="inlineStr">
        <is>
          <t>Documentation Link</t>
        </is>
      </c>
      <c r="H3" s="2" t="inlineStr">
        <is>
          <t>YouTube Link</t>
        </is>
      </c>
    </row>
    <row r="4" ht="42" customHeight="1">
      <c r="A4" s="3" t="inlineStr">
        <is>
          <t>Day 01</t>
        </is>
      </c>
      <c r="B4" s="4" t="inlineStr">
        <is>
          <t>Week 1</t>
        </is>
      </c>
      <c r="C4" s="5" t="inlineStr">
        <is>
          <t>Linear Algebra: Vectors</t>
        </is>
      </c>
      <c r="D4" s="5" t="inlineStr">
        <is>
          <t>Vector space dimensions, additions, inner scalar dot products, distance metrics, coordinate geometry</t>
        </is>
      </c>
      <c r="E4" s="5" t="inlineStr">
        <is>
          <t>To represent raw data instances (texts, pixels) as continuous numeric locations in a coordinate space.</t>
        </is>
      </c>
      <c r="F4" s="5" t="inlineStr">
        <is>
          <t>Code custom array operations to measure vector-wise similarity matrices manually</t>
        </is>
      </c>
      <c r="G4" s="6">
        <f>HYPERLINK("https://www.khanacademy.org/math/linear-algebra", "Official Docs")</f>
        <v/>
      </c>
      <c r="H4" s="6">
        <f>HYPERLINK("https://www.youtube.com/playlist?list=PLZHQObOWTQDPD3MizzM2xVFitgF8hE_ab", "Watch Video Course")</f>
        <v/>
      </c>
    </row>
    <row r="5" ht="42" customHeight="1">
      <c r="A5" s="7" t="inlineStr">
        <is>
          <t>Day 02</t>
        </is>
      </c>
      <c r="B5" s="8" t="inlineStr">
        <is>
          <t>Week 1</t>
        </is>
      </c>
      <c r="C5" s="9" t="inlineStr">
        <is>
          <t>Matrix Transformations</t>
        </is>
      </c>
      <c r="D5" s="9" t="inlineStr">
        <is>
          <t>Matrix structures, matrix dot products, identity matrices, transpose operations</t>
        </is>
      </c>
      <c r="E5" s="9" t="inlineStr">
        <is>
          <t>To transform high-dimensional input vectors simultaneously via dense weight systems.</t>
        </is>
      </c>
      <c r="F5" s="9" t="inlineStr">
        <is>
          <t>Perform 3x3 matrix multiplication manually and cross-verify with structural arrays</t>
        </is>
      </c>
      <c r="G5" s="10">
        <f>HYPERLINK("https://www.khanacademy.org/math/linear-algebra", "Official Docs")</f>
        <v/>
      </c>
      <c r="H5" s="10">
        <f>HYPERLINK("https://www.youtube.com/watch?v=XkY2DOUCWMU", "Watch Video Course")</f>
        <v/>
      </c>
    </row>
    <row r="6" ht="42" customHeight="1">
      <c r="A6" s="3" t="inlineStr">
        <is>
          <t>Day 03</t>
        </is>
      </c>
      <c r="B6" s="4" t="inlineStr">
        <is>
          <t>Week 1</t>
        </is>
      </c>
      <c r="C6" s="5" t="inlineStr">
        <is>
          <t>Determinants &amp; Inverses</t>
        </is>
      </c>
      <c r="D6" s="5" t="inlineStr">
        <is>
          <t>Calculating determinants, matrix inversion properties, systems of linear equations (Ax = b)</t>
        </is>
      </c>
      <c r="E6" s="5" t="inlineStr">
        <is>
          <t>To process complex spatial dataset weights and systematically resolve simultaneous parameters.</t>
        </is>
      </c>
      <c r="F6" s="5" t="inlineStr">
        <is>
          <t>Solve simultaneous user parameters using hand-derived Cramer transformations</t>
        </is>
      </c>
      <c r="G6" s="6">
        <f>HYPERLINK("https://www.khanacademy.org/math/linear-algebra", "Official Docs")</f>
        <v/>
      </c>
      <c r="H6" s="6">
        <f>HYPERLINK("https://www.youtube.com/watch?v=Ip3X97O45DU", "Watch Video Course")</f>
        <v/>
      </c>
    </row>
    <row r="7" ht="42" customHeight="1">
      <c r="A7" s="7" t="inlineStr">
        <is>
          <t>Day 04</t>
        </is>
      </c>
      <c r="B7" s="8" t="inlineStr">
        <is>
          <t>Week 1</t>
        </is>
      </c>
      <c r="C7" s="9" t="inlineStr">
        <is>
          <t>Eigenvalues &amp; Eigenvectors</t>
        </is>
      </c>
      <c r="D7" s="9" t="inlineStr">
        <is>
          <t>Geometric vector transformations, characteristic equations, directional axes, variance scaling</t>
        </is>
      </c>
      <c r="E7" s="9" t="inlineStr">
        <is>
          <t>To isolate directional axes tracking maximum dataset variations (the core backing PCA reduction algorithms).</t>
        </is>
      </c>
      <c r="F7" s="9" t="inlineStr">
        <is>
          <t>Manually decompose 2x2 matrix data grids into eigenvalues and eigenvectors</t>
        </is>
      </c>
      <c r="G7" s="10">
        <f>HYPERLINK("https://www.khanacademy.org/math/linear-algebra", "Official Docs")</f>
        <v/>
      </c>
      <c r="H7" s="10">
        <f>HYPERLINK("https://www.youtube.com/watch?v=PFDu9oVAE-g", "Watch Video Course")</f>
        <v/>
      </c>
    </row>
    <row r="8" ht="42" customHeight="1">
      <c r="A8" s="3" t="inlineStr">
        <is>
          <t>Day 05</t>
        </is>
      </c>
      <c r="B8" s="4" t="inlineStr">
        <is>
          <t>Week 1</t>
        </is>
      </c>
      <c r="C8" s="5" t="inlineStr">
        <is>
          <t>Calculus: Limits &amp; Derivatives</t>
        </is>
      </c>
      <c r="D8" s="5" t="inlineStr">
        <is>
          <t>Limits bounds, optimization curves, tangent line slopes, derivative polynomial equations</t>
        </is>
      </c>
      <c r="E8" s="5" t="inlineStr">
        <is>
          <t>To evaluate model error cost curves and track optimization directions.</t>
        </is>
      </c>
      <c r="F8" s="5" t="inlineStr">
        <is>
          <t>Differentiate a series of classic continuous cost functions explicitly by hand</t>
        </is>
      </c>
      <c r="G8" s="6">
        <f>HYPERLINK("https://www.khanacademy.org/math/multivariable-calculus", "Official Docs")</f>
        <v/>
      </c>
      <c r="H8" s="6">
        <f>HYPERLINK("https://www.youtube.com/playlist?list=PLZHQObOWTQDMsr9K-rj53DwVRMYO3t5Yr", "Watch Video Course")</f>
        <v/>
      </c>
    </row>
    <row r="9" ht="42" customHeight="1">
      <c r="A9" s="7" t="inlineStr">
        <is>
          <t>Day 06</t>
        </is>
      </c>
      <c r="B9" s="8" t="inlineStr">
        <is>
          <t>Week 1</t>
        </is>
      </c>
      <c r="C9" s="9" t="inlineStr">
        <is>
          <t>Partial Derivatives &amp; Chain Rule</t>
        </is>
      </c>
      <c r="D9" s="9" t="inlineStr">
        <is>
          <t>Multivariable function steps, tracking partial parameters, composite chain rules</t>
        </is>
      </c>
      <c r="E9" s="9" t="inlineStr">
        <is>
          <t>To trace and calculate layer-wise error variations across separate interwoven hidden layer parameters.</t>
        </is>
      </c>
      <c r="F9" s="9" t="inlineStr">
        <is>
          <t>Compute partial derivatives and chain combinations for multi-variable inputs manually</t>
        </is>
      </c>
      <c r="G9" s="10">
        <f>HYPERLINK("https://www.khanacademy.org/math/multivariable-calculus", "Official Docs")</f>
        <v/>
      </c>
      <c r="H9" s="10">
        <f>HYPERLINK("https://www.youtube.com/watch?v=IHZwWFHWa-w", "Watch Video Course")</f>
        <v/>
      </c>
    </row>
    <row r="10" ht="42" customHeight="1">
      <c r="A10" s="3" t="inlineStr">
        <is>
          <t>Day 07</t>
        </is>
      </c>
      <c r="B10" s="4" t="inlineStr">
        <is>
          <t>Week 1</t>
        </is>
      </c>
      <c r="C10" s="11" t="inlineStr">
        <is>
          <t>Project: Gradient Descent</t>
        </is>
      </c>
      <c r="D10" s="5" t="inlineStr">
        <is>
          <t>Convex surfaces, minima steps, learning rate parameters, gradient updates (w &lt;- w - alpha * gradient)</t>
        </is>
      </c>
      <c r="E10" s="5" t="inlineStr">
        <is>
          <t>To construct the systematic weight update loops that enable a model to learn from data.</t>
        </is>
      </c>
      <c r="F10" s="11" t="inlineStr">
        <is>
          <t>Project: Build Multivariate Gradient Descent Optimizer Script From Scratch via Python</t>
        </is>
      </c>
      <c r="G10" s="6">
        <f>HYPERLINK("https://www.khanacademy.org/math/multivariable-calculus", "Official Docs")</f>
        <v/>
      </c>
      <c r="H10" s="6">
        <f>HYPERLINK("https://www.youtube.com/watch?v=sDv4f4s2SB8", "Watch Video Course")</f>
        <v/>
      </c>
    </row>
    <row r="11" ht="42" customHeight="1">
      <c r="A11" s="7" t="inlineStr">
        <is>
          <t>Day 08</t>
        </is>
      </c>
      <c r="B11" s="8" t="inlineStr">
        <is>
          <t>Week 2</t>
        </is>
      </c>
      <c r="C11" s="9" t="inlineStr">
        <is>
          <t>Descriptive Distribution Metrics</t>
        </is>
      </c>
      <c r="D11" s="9" t="inlineStr">
        <is>
          <t>Variance equations, dispersion rules, standard deviations, distribution skewness and kurtosis parameters</t>
        </is>
      </c>
      <c r="E11" s="9" t="inlineStr">
        <is>
          <t>To mathematically quantify data distributions and catch anomalies before running models.</t>
        </is>
      </c>
      <c r="F11" s="9" t="inlineStr">
        <is>
          <t>Generate automated data frame profiles detailing skewness and statistical dispersion metrics</t>
        </is>
      </c>
      <c r="G11" s="10">
        <f>HYPERLINK("https://openstax.org/books/introductory-statistics/pages/1-introduction", "Official Docs")</f>
        <v/>
      </c>
      <c r="H11" s="10">
        <f>HYPERLINK("https://www.youtube.com/playlist?list=PLblh5JKOoLUK0FLuzwntyYy10UQWRLvLk", "Watch Video Course")</f>
        <v/>
      </c>
    </row>
    <row r="12" ht="42" customHeight="1">
      <c r="A12" s="3" t="inlineStr">
        <is>
          <t>Day 09</t>
        </is>
      </c>
      <c r="B12" s="4" t="inlineStr">
        <is>
          <t>Week 2</t>
        </is>
      </c>
      <c r="C12" s="5" t="inlineStr">
        <is>
          <t>Probability Foundations &amp; Bayes</t>
        </is>
      </c>
      <c r="D12" s="5" t="inlineStr">
        <is>
          <t>Sample space bounds, marginal conditions, independent events, conditional bounds, Bayes rule</t>
        </is>
      </c>
      <c r="E12" s="5" t="inlineStr">
        <is>
          <t>To logically update diagnostic and classification likelihoods as new features materialize.</t>
        </is>
      </c>
      <c r="F12" s="5" t="inlineStr">
        <is>
          <t>Calculate screen medical test diagnostic boundaries utilizing conditional Bayes equations</t>
        </is>
      </c>
      <c r="G12" s="6">
        <f>HYPERLINK("https://openstax.org/books/introductory-statistics/pages/3-introduction", "Official Docs")</f>
        <v/>
      </c>
      <c r="H12" s="6">
        <f>HYPERLINK("https://www.youtube.com/watch?v=HZGCoVF3YvM", "Watch Video Course")</f>
        <v/>
      </c>
    </row>
    <row r="13" ht="42" customHeight="1">
      <c r="A13" s="7" t="inlineStr">
        <is>
          <t>Day 10</t>
        </is>
      </c>
      <c r="B13" s="8" t="inlineStr">
        <is>
          <t>Week 2</t>
        </is>
      </c>
      <c r="C13" s="9" t="inlineStr">
        <is>
          <t>Probability Distributions</t>
        </is>
      </c>
      <c r="D13" s="9" t="inlineStr">
        <is>
          <t>Discrete variables vs continuous shapes, Binomial counts, Poisson limits, Gaussian Normal curve tracking</t>
        </is>
      </c>
      <c r="E13" s="9" t="inlineStr">
        <is>
          <t>To match real field data frequencies to robust mathematical formulas to clear statistical checks.</t>
        </is>
      </c>
      <c r="F13" s="9" t="inlineStr">
        <is>
          <t>Map variable historical columns onto standard bell curve distributions checking accuracy parameters</t>
        </is>
      </c>
      <c r="G13" s="10">
        <f>HYPERLINK("https://openstax.org/books/introductory-statistics/pages/4-introduction", "Official Docs")</f>
        <v/>
      </c>
      <c r="H13" s="10">
        <f>HYPERLINK("https://www.youtube.com/watch?v=fXOS4Q37lS4", "Watch Video Course")</f>
        <v/>
      </c>
    </row>
    <row r="14" ht="42" customHeight="1">
      <c r="A14" s="3" t="inlineStr">
        <is>
          <t>Day 11</t>
        </is>
      </c>
      <c r="B14" s="4" t="inlineStr">
        <is>
          <t>Week 2</t>
        </is>
      </c>
      <c r="C14" s="5" t="inlineStr">
        <is>
          <t>Sampling &amp; Central Limit Theorem</t>
        </is>
      </c>
      <c r="D14" s="5" t="inlineStr">
        <is>
          <t>Sample sets vs population steps, error parameters estimation, standard error boundaries, CLT rules</t>
        </is>
      </c>
      <c r="E14" s="5" t="inlineStr">
        <is>
          <t>To validate sample observations using standard error contraction margins.</t>
        </is>
      </c>
      <c r="F14" s="5" t="inlineStr">
        <is>
          <t>Simulate sampling distribution conversions showing error drops via recursive loop samplers</t>
        </is>
      </c>
      <c r="G14" s="6">
        <f>HYPERLINK("https://openstax.org/books/introductory-statistics/pages/7-introduction", "Official Docs")</f>
        <v/>
      </c>
      <c r="H14" s="6">
        <f>HYPERLINK("https://www.youtube.com/watch?v=YAlJCEDH2uY", "Watch Video Course")</f>
        <v/>
      </c>
    </row>
    <row r="15" ht="42" customHeight="1">
      <c r="A15" s="7" t="inlineStr">
        <is>
          <t>Day 12</t>
        </is>
      </c>
      <c r="B15" s="8" t="inlineStr">
        <is>
          <t>Week 2</t>
        </is>
      </c>
      <c r="C15" s="9" t="inlineStr">
        <is>
          <t>Confidence Intervals Bounds</t>
        </is>
      </c>
      <c r="D15" s="9" t="inlineStr">
        <is>
          <t>Point estimators, standard errors, alpha thresholds, margin boundaries calculation</t>
        </is>
      </c>
      <c r="E15" s="9" t="inlineStr">
        <is>
          <t>To surround parameter estimations with clear, robust margins of statistical certainty.</t>
        </is>
      </c>
      <c r="F15" s="9" t="inlineStr">
        <is>
          <t>Establish explicit 95% certainty boundaries around incoming customer average lists</t>
        </is>
      </c>
      <c r="G15" s="10">
        <f>HYPERLINK("https://openstax.org/books/introductory-statistics/pages/8-introduction", "Official Docs")</f>
        <v/>
      </c>
      <c r="H15" s="10">
        <f>HYPERLINK("https://www.youtube.com/watch?v=TqOeMYtOc1w", "Watch Video Course")</f>
        <v/>
      </c>
    </row>
    <row r="16" ht="42" customHeight="1">
      <c r="A16" s="3" t="inlineStr">
        <is>
          <t>Day 13</t>
        </is>
      </c>
      <c r="B16" s="4" t="inlineStr">
        <is>
          <t>Week 2</t>
        </is>
      </c>
      <c r="C16" s="5" t="inlineStr">
        <is>
          <t>Hypothesis Testing Basics</t>
        </is>
      </c>
      <c r="D16" s="5" t="inlineStr">
        <is>
          <t>Null boundaries (H0) vs alternative (Ha), p-value scores calculation, tracking Type I/II errors</t>
        </is>
      </c>
      <c r="E16" s="5" t="inlineStr">
        <is>
          <t>To determine with statistical confidence whether metric changes are real gains or random fluctuations.</t>
        </is>
      </c>
      <c r="F16" s="5" t="inlineStr">
        <is>
          <t>Formulate error tests and calculate significance levels for product variant outcomes</t>
        </is>
      </c>
      <c r="G16" s="6">
        <f>HYPERLINK("https://openstax.org/books/introductory-statistics/pages/9-introduction", "Official Docs")</f>
        <v/>
      </c>
      <c r="H16" s="6">
        <f>HYPERLINK("https://www.youtube.com/watch?v=0oc49oHNDsw", "Watch Video Course")</f>
        <v/>
      </c>
    </row>
    <row r="17" ht="42" customHeight="1">
      <c r="A17" s="7" t="inlineStr">
        <is>
          <t>Day 14</t>
        </is>
      </c>
      <c r="B17" s="8" t="inlineStr">
        <is>
          <t>Week 2</t>
        </is>
      </c>
      <c r="C17" s="9" t="inlineStr">
        <is>
          <t>Statistical Tests &amp; Project</t>
        </is>
      </c>
      <c r="D17" s="9" t="inlineStr">
        <is>
          <t>Parametric evaluation tests: Z-tests, independent T-tests, ANOVA tables partitions</t>
        </is>
      </c>
      <c r="E17" s="9" t="inlineStr">
        <is>
          <t>To construct numerical validation pipelines confirming design modifications scientifically.</t>
        </is>
      </c>
      <c r="F17" s="11" t="inlineStr">
        <is>
          <t>Project: Complete A/B Testing Experiment Significance Evaluation Engine</t>
        </is>
      </c>
      <c r="G17" s="10">
        <f>HYPERLINK("https://openstax.org/books/introductory-statistics/pages/13-f-distribution-and-one-way-anova", "Official Docs")</f>
        <v/>
      </c>
      <c r="H17" s="10">
        <f>HYPERLINK("https://www.youtube.com/watch?v=NFDo9oVAE-g", "Watch Video Course")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55" customWidth="1" min="4" max="4"/>
    <col width="55" customWidth="1" min="5" max="5"/>
    <col width="55" customWidth="1" min="6" max="6"/>
    <col width="21" customWidth="1" min="7" max="7"/>
    <col width="21" customWidth="1" min="8" max="8"/>
  </cols>
  <sheetData>
    <row r="1" ht="40" customHeight="1">
      <c r="A1" s="1" t="inlineStr">
        <is>
          <t>Relational Database Infrastructure &amp; Extended SQL Queries (Days 15 - 21)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 Title</t>
        </is>
      </c>
      <c r="D3" s="2" t="inlineStr">
        <is>
          <t>Detailed Query Concepts &amp; Syntax Chains</t>
        </is>
      </c>
      <c r="E3" s="2" t="inlineStr">
        <is>
          <t>Purpose (Why Learn This Concept?)</t>
        </is>
      </c>
      <c r="F3" s="2" t="inlineStr">
        <is>
          <t>Hands-On Practical Database Target</t>
        </is>
      </c>
      <c r="G3" s="2" t="inlineStr">
        <is>
          <t>Documentation Link</t>
        </is>
      </c>
      <c r="H3" s="2" t="inlineStr">
        <is>
          <t>YouTube Link</t>
        </is>
      </c>
    </row>
    <row r="4" ht="42" customHeight="1">
      <c r="A4" s="3" t="inlineStr">
        <is>
          <t>Day 15</t>
        </is>
      </c>
      <c r="B4" s="4" t="inlineStr">
        <is>
          <t>Week 3</t>
        </is>
      </c>
      <c r="C4" s="5" t="inlineStr">
        <is>
          <t>SQL Foundations: Ingestion &amp; SELECT</t>
        </is>
      </c>
      <c r="D4" s="5" t="inlineStr">
        <is>
          <t>RDBMS database setup scripts, relational mapping constraints, primitive types, primary keys vs foreign keys, SELECT statements, WHERE conditional constraints, LIMIT syntax modifications</t>
        </is>
      </c>
      <c r="E4" s="5" t="inlineStr">
        <is>
          <t>To hook up local query systems to relational data servers and extract target data column vectors safely.</t>
        </is>
      </c>
      <c r="F4" s="5" t="inlineStr">
        <is>
          <t>Install PostgreSQL, configure database access rules, and run targeted scripts to query row subsets cleanly</t>
        </is>
      </c>
      <c r="G4" s="6">
        <f>HYPERLINK("https://www.w3schools.com/sql/", "Official Docs Reference")</f>
        <v/>
      </c>
      <c r="H4" s="6">
        <f>HYPERLINK("https://www.youtube.com/watch?v=HXV3zeQKqGY", "Watch Video Course")</f>
        <v/>
      </c>
    </row>
    <row r="5" ht="42" customHeight="1">
      <c r="A5" s="7" t="inlineStr">
        <is>
          <t>Day 16</t>
        </is>
      </c>
      <c r="B5" s="8" t="inlineStr">
        <is>
          <t>Week 3</t>
        </is>
      </c>
      <c r="C5" s="9" t="inlineStr">
        <is>
          <t>SQL: Logical Filtering &amp; wildcards</t>
        </is>
      </c>
      <c r="D5" s="9" t="inlineStr">
        <is>
          <t>Compound logic chaining parameters (AND, OR, NOT), localized range screening (IN, BETWEEN), descriptive string filtering via LIKE and wildcards tokens</t>
        </is>
      </c>
      <c r="E5" s="9" t="inlineStr">
        <is>
          <t>To find or filter specific user profiles or order cohorts meeting strict, multi-layer parameters.</t>
        </is>
      </c>
      <c r="F5" s="9" t="inlineStr">
        <is>
          <t>Query consumer table matrices to isolate subset groups using conditional pattern checks across values</t>
        </is>
      </c>
      <c r="G5" s="10">
        <f>HYPERLINK("https://www.w3schools.com/sql/sql_operators.asp", "Official Docs Reference")</f>
        <v/>
      </c>
      <c r="H5" s="10">
        <f>HYPERLINK("https://www.youtube.com/watch?v=HXV3zeQKqGY", "Watch Video Course")</f>
        <v/>
      </c>
    </row>
    <row r="6" ht="42" customHeight="1">
      <c r="A6" s="3" t="inlineStr">
        <is>
          <t>Day 17</t>
        </is>
      </c>
      <c r="B6" s="4" t="inlineStr">
        <is>
          <t>Week 3</t>
        </is>
      </c>
      <c r="C6" s="5" t="inlineStr">
        <is>
          <t>SQL: Column Aggregations &amp; Groupings</t>
        </is>
      </c>
      <c r="D6" s="5" t="inlineStr">
        <is>
          <t>Data aggregators operations (COUNT, SUM, AVG, MIN, MAX), spatial table partitioning via GROUP BY, post-aggregation bucket filtering using HAVING statement boundaries</t>
        </is>
      </c>
      <c r="E6" s="5" t="inlineStr">
        <is>
          <t>To compute aggregate variables like total corporate revenue performance indicators or categorical benchmarks.</t>
        </is>
      </c>
      <c r="F6" s="5" t="inlineStr">
        <is>
          <t>Formulate aggregate partition rows summarizing financial order counts grouped across region attributes</t>
        </is>
      </c>
      <c r="G6" s="6">
        <f>HYPERLINK("https://www.w3schools.com/sql/sql_groupby.asp", "Official Docs Reference")</f>
        <v/>
      </c>
      <c r="H6" s="6">
        <f>HYPERLINK("https://www.youtube.com/watch?v=HXV3zeQKqGY", "Watch Video Course")</f>
        <v/>
      </c>
    </row>
    <row r="7" ht="42" customHeight="1">
      <c r="A7" s="7" t="inlineStr">
        <is>
          <t>Day 18</t>
        </is>
      </c>
      <c r="B7" s="8" t="inlineStr">
        <is>
          <t>Week 3</t>
        </is>
      </c>
      <c r="C7" s="9" t="inlineStr">
        <is>
          <t>SQL: Relational Multi-Table Joins</t>
        </is>
      </c>
      <c r="D7" s="9" t="inlineStr">
        <is>
          <t>Database normalization principles, table schema alignment loops, cross-referencing fields using INNER JOIN and LEFT JOIN structures</t>
        </is>
      </c>
      <c r="E7" s="9" t="inlineStr">
        <is>
          <t>To stitch separate normalized relational tables together smoothly into comprehensive analytical datasets.</t>
        </is>
      </c>
      <c r="F7" s="9" t="inlineStr">
        <is>
          <t>Combine live order row elements directly onto corresponding user profile demographic indices completely</t>
        </is>
      </c>
      <c r="G7" s="10">
        <f>HYPERLINK("https://www.w3schools.com/sql/sql_join.asp", "Official Docs Reference")</f>
        <v/>
      </c>
      <c r="H7" s="10">
        <f>HYPERLINK("https://www.youtube.com/watch?v=HXV3zeQKqGY", "Watch Video Course")</f>
        <v/>
      </c>
    </row>
    <row r="8" ht="42" customHeight="1">
      <c r="A8" s="3" t="inlineStr">
        <is>
          <t>Day 19</t>
        </is>
      </c>
      <c r="B8" s="4" t="inlineStr">
        <is>
          <t>Week 3</t>
        </is>
      </c>
      <c r="C8" s="5" t="inlineStr">
        <is>
          <t>SQL: Advanced Outer &amp; Self Joins</t>
        </is>
      </c>
      <c r="D8" s="5" t="inlineStr">
        <is>
          <t>RIGHT JOIN boundary rules, FULL OUTER JOIN conditions, matching table records back onto themselves natively (Self-Joins)</t>
        </is>
      </c>
      <c r="E8" s="5" t="inlineStr">
        <is>
          <t>To examine relational gaps across databases and map hierarchical tree chart variables.</t>
        </is>
      </c>
      <c r="F8" s="5" t="inlineStr">
        <is>
          <t>Construct a hierarchical self-join query mapping corporate structure tables linking employees to manager IDs</t>
        </is>
      </c>
      <c r="G8" s="6">
        <f>HYPERLINK("https://www.w3schools.com/sql/sql_join_full.asp", "Official Docs Reference")</f>
        <v/>
      </c>
      <c r="H8" s="6">
        <f>HYPERLINK("https://www.youtube.com/watch?v=HXV3zeQKqGY", "Watch Video Course")</f>
        <v/>
      </c>
    </row>
    <row r="9" ht="42" customHeight="1">
      <c r="A9" s="7" t="inlineStr">
        <is>
          <t>Day 20</t>
        </is>
      </c>
      <c r="B9" s="8" t="inlineStr">
        <is>
          <t>Week 3</t>
        </is>
      </c>
      <c r="C9" s="9" t="inlineStr">
        <is>
          <t>SQL: Subqueries &amp; Partition Windows</t>
        </is>
      </c>
      <c r="D9" s="9" t="inlineStr">
        <is>
          <t>Nested subqueries loops, sub-select configurations, statement optimization, partition window functions (ROW_NUMBER, RANK, DENSE_RANK counters)</t>
        </is>
      </c>
      <c r="E9" s="9" t="inlineStr">
        <is>
          <t>To calculate granular, row-level metrics relative to their specific category partition averages.</t>
        </is>
      </c>
      <c r="F9" s="9" t="inlineStr">
        <is>
          <t>Rank transaction entries within product rows without losing the granularity of raw lines</t>
        </is>
      </c>
      <c r="G9" s="10">
        <f>HYPERLINK("https://mode.com/sql-tutorial/sql-subqueries/", "Official Docs Reference")</f>
        <v/>
      </c>
      <c r="H9" s="10">
        <f>HYPERLINK("https://www.youtube.com/watch?v=HXV3zeQKqGY", "Watch Video Course")</f>
        <v/>
      </c>
    </row>
    <row r="10" ht="42" customHeight="1">
      <c r="A10" s="3" t="inlineStr">
        <is>
          <t>Day 21</t>
        </is>
      </c>
      <c r="B10" s="4" t="inlineStr">
        <is>
          <t>Week 3</t>
        </is>
      </c>
      <c r="C10" s="11" t="inlineStr">
        <is>
          <t>Project: Advanced SQL Architecture</t>
        </is>
      </c>
      <c r="D10" s="5" t="inlineStr">
        <is>
          <t>Common Table Expressions (CTEs), syntax loops, complex multi-join optimization passes</t>
        </is>
      </c>
      <c r="E10" s="5" t="inlineStr">
        <is>
          <t>To combine advanced extraction features into single production-ready database scripts.</t>
        </is>
      </c>
      <c r="F10" s="11" t="inlineStr">
        <is>
          <t>Project: Query Complex E-Commerce System to Calculate Monthly User Cohort Retentions via CTEs</t>
        </is>
      </c>
      <c r="G10" s="6">
        <f>HYPERLINK("https://mode.com/sql-tutorial/sql-window-functions/", "Official Docs Reference")</f>
        <v/>
      </c>
      <c r="H10" s="6">
        <f>HYPERLINK("https://www.youtube.com/watch?v=w7viXg6bFwU", "Watch Video Course")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55" customWidth="1" min="4" max="4"/>
    <col width="55" customWidth="1" min="5" max="5"/>
    <col width="55" customWidth="1" min="6" max="6"/>
    <col width="21" customWidth="1" min="7" max="7"/>
    <col width="21" customWidth="1" min="8" max="8"/>
  </cols>
  <sheetData>
    <row r="1" ht="40" customHeight="1">
      <c r="A1" s="1" t="inlineStr">
        <is>
          <t>Exhaustive Python Foundations, OOP, NumPy Core, Pandas Wrangling, Matplotlib Plots &amp; Scikit-Learn Pipelines (Days 22 - 46)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 / Library</t>
        </is>
      </c>
      <c r="D3" s="2" t="inlineStr">
        <is>
          <t>Detailed Concepts &amp; Class Architectures</t>
        </is>
      </c>
      <c r="E3" s="2" t="inlineStr">
        <is>
          <t>Purpose (Why Learn This?)</t>
        </is>
      </c>
      <c r="F3" s="2" t="inlineStr">
        <is>
          <t>Daily Coding Objective / Milestone</t>
        </is>
      </c>
      <c r="G3" s="2" t="inlineStr">
        <is>
          <t>Documentation Link</t>
        </is>
      </c>
      <c r="H3" s="2" t="inlineStr">
        <is>
          <t>YouTube Link</t>
        </is>
      </c>
    </row>
    <row r="4" ht="42" customHeight="1">
      <c r="A4" s="3" t="inlineStr">
        <is>
          <t>Day 22</t>
        </is>
      </c>
      <c r="B4" s="4" t="inlineStr">
        <is>
          <t>Week 4</t>
        </is>
      </c>
      <c r="C4" s="5" t="inlineStr">
        <is>
          <t>Python Core Basics</t>
        </is>
      </c>
      <c r="D4" s="5" t="inlineStr">
        <is>
          <t>Anaconda setup, virtual environments (venv), dynamic variable variables, primitives (int, float, string, boolean)</t>
        </is>
      </c>
      <c r="E4" s="5" t="inlineStr">
        <is>
          <t>To build a functional data science runtime terminal and grasp native primitive data objects.</t>
        </is>
      </c>
      <c r="F4" s="5" t="inlineStr">
        <is>
          <t>Provision workspace; write an automated module executing standard variable assignments</t>
        </is>
      </c>
      <c r="G4" s="6">
        <f>HYPERLINK("https://docs.python.org/3/tutorial/index.html", "Docs Portal")</f>
        <v/>
      </c>
      <c r="H4" s="6">
        <f>HYPERLINK("https://www.youtube.com/watch?v=kqtD5eraYLY", "Watch Video")</f>
        <v/>
      </c>
    </row>
    <row r="5" ht="42" customHeight="1">
      <c r="A5" s="7" t="inlineStr">
        <is>
          <t>Day 23</t>
        </is>
      </c>
      <c r="B5" s="8" t="inlineStr">
        <is>
          <t>Week 4</t>
        </is>
      </c>
      <c r="C5" s="9" t="inlineStr">
        <is>
          <t>Python Flow Controls</t>
        </is>
      </c>
      <c r="D5" s="9" t="inlineStr">
        <is>
          <t>Conditional evaluation testing (if, elif, else), logical verification parameters, matching filters</t>
        </is>
      </c>
      <c r="E5" s="9" t="inlineStr">
        <is>
          <t>To direct data workflows and validation filters cleanly using conditional expressions.</t>
        </is>
      </c>
      <c r="F5" s="9" t="inlineStr">
        <is>
          <t>Code a multi-tier customer validation program parsing relational parameters</t>
        </is>
      </c>
      <c r="G5" s="10">
        <f>HYPERLINK("https://docs.python.org/3/tutorial/controlflow.html", "Docs Portal")</f>
        <v/>
      </c>
      <c r="H5" s="10">
        <f>HYPERLINK("https://www.youtube.com/watch?v=DZwmZ8yC7xk", "Watch Video")</f>
        <v/>
      </c>
    </row>
    <row r="6" ht="42" customHeight="1">
      <c r="A6" s="3" t="inlineStr">
        <is>
          <t>Day 24</t>
        </is>
      </c>
      <c r="B6" s="4" t="inlineStr">
        <is>
          <t>Week 4</t>
        </is>
      </c>
      <c r="C6" s="5" t="inlineStr">
        <is>
          <t>Python Loops Engine</t>
        </is>
      </c>
      <c r="D6" s="5" t="inlineStr">
        <is>
          <t>for statements, while conditions, loop step routing keywords (break, continue)</t>
        </is>
      </c>
      <c r="E6" s="5" t="inlineStr">
        <is>
          <t>To automatically parse large external text lines and index logs without manual intervention.</t>
        </is>
      </c>
      <c r="F6" s="5" t="inlineStr">
        <is>
          <t>Develop an interactive check system utilizing conditional while-loop structures</t>
        </is>
      </c>
      <c r="G6" s="6">
        <f>HYPERLINK("https://docs.python.org/3/tutorial/controlflow.html#for-statements", "Docs Portal")</f>
        <v/>
      </c>
      <c r="H6" s="6">
        <f>HYPERLINK("https://www.youtube.com/watch?v=6iF8Xb7Z3wQ", "Watch Video")</f>
        <v/>
      </c>
    </row>
    <row r="7" ht="42" customHeight="1">
      <c r="A7" s="7" t="inlineStr">
        <is>
          <t>Day 25</t>
        </is>
      </c>
      <c r="B7" s="8" t="inlineStr">
        <is>
          <t>Week 4</t>
        </is>
      </c>
      <c r="C7" s="9" t="inlineStr">
        <is>
          <t>Python Collections 1</t>
        </is>
      </c>
      <c r="D7" s="9" t="inlineStr">
        <is>
          <t>List indices, slicing paths, list mutations, tuple constraints, List Comprehensions</t>
        </is>
      </c>
      <c r="E7" s="9" t="inlineStr">
        <is>
          <t>To arrange array collections, tracking coordinate data lines via mapping compressions.</t>
        </is>
      </c>
      <c r="F7" s="9" t="inlineStr">
        <is>
          <t>Process tabular rows saved inside nested lists using compression paths</t>
        </is>
      </c>
      <c r="G7" s="10">
        <f>HYPERLINK("https://docs.python.org/3/tutorial/datastructures.html", "Docs Portal")</f>
        <v/>
      </c>
      <c r="H7" s="10">
        <f>HYPERLINK("https://www.youtube.com/watch?v=W8KRzm-HUcc", "Watch Video")</f>
        <v/>
      </c>
    </row>
    <row r="8" ht="42" customHeight="1">
      <c r="A8" s="3" t="inlineStr">
        <is>
          <t>Day 26</t>
        </is>
      </c>
      <c r="B8" s="4" t="inlineStr">
        <is>
          <t>Week 4</t>
        </is>
      </c>
      <c r="C8" s="5" t="inlineStr">
        <is>
          <t>Python Collections 2</t>
        </is>
      </c>
      <c r="D8" s="5" t="inlineStr">
        <is>
          <t>Key-value pair dictionaries, lookup hashing mechanics, unique sets, set metrics</t>
        </is>
      </c>
      <c r="E8" s="5" t="inlineStr">
        <is>
          <t>To deploy high-speed lookup tables and track unique target categories rapidly.</t>
        </is>
      </c>
      <c r="F8" s="5" t="inlineStr">
        <is>
          <t>Write a word-frequency scanner checking raw document files for terms</t>
        </is>
      </c>
      <c r="G8" s="6">
        <f>HYPERLINK("https://docs.python.org/3/tutorial/datastructures.html#dictionaries", "Docs Portal")</f>
        <v/>
      </c>
      <c r="H8" s="6">
        <f>HYPERLINK("https://www.youtube.com/watch?v=daefaLgNkw0", "Watch Video")</f>
        <v/>
      </c>
    </row>
    <row r="9" ht="42" customHeight="1">
      <c r="A9" s="7" t="inlineStr">
        <is>
          <t>Day 27</t>
        </is>
      </c>
      <c r="B9" s="8" t="inlineStr">
        <is>
          <t>Week 4</t>
        </is>
      </c>
      <c r="C9" s="9" t="inlineStr">
        <is>
          <t>Python Functions Core</t>
        </is>
      </c>
      <c r="D9" s="9" t="inlineStr">
        <is>
          <t>def statement parameters, return tracks, positional arguments, keyword unpacking (*args, **kwargs)</t>
        </is>
      </c>
      <c r="E9" s="9" t="inlineStr">
        <is>
          <t>To bundle messy code paths into cleanly organized, reusable functional building blocks.</t>
        </is>
      </c>
      <c r="F9" s="9" t="inlineStr">
        <is>
          <t>Encapsulate loose collection code blocks into modular reusable functions</t>
        </is>
      </c>
      <c r="G9" s="10">
        <f>HYPERLINK("https://docs.python.org/3/tutorial/controlflow.html#defining-functions", "Docs Portal")</f>
        <v/>
      </c>
      <c r="H9" s="10">
        <f>HYPERLINK("https://www.youtube.com/watch?v=9Os0o3wXykM", "Watch Video")</f>
        <v/>
      </c>
    </row>
    <row r="10" ht="42" customHeight="1">
      <c r="A10" s="3" t="inlineStr">
        <is>
          <t>Day 28</t>
        </is>
      </c>
      <c r="B10" s="4" t="inlineStr">
        <is>
          <t>Week 4</t>
        </is>
      </c>
      <c r="C10" s="11" t="inlineStr">
        <is>
          <t>Project: File Ingestion</t>
        </is>
      </c>
      <c r="D10" s="5" t="inlineStr">
        <is>
          <t>File reading strings natively, context managers (with open), text string modifications, JSON parsing</t>
        </is>
      </c>
      <c r="E10" s="5" t="inlineStr">
        <is>
          <t>To join native data structures, building functional file parsing scripts from scratch.</t>
        </is>
      </c>
      <c r="F10" s="11" t="inlineStr">
        <is>
          <t>Project: Code a CLI-driven Retail System saving records dynamically via context blocks</t>
        </is>
      </c>
      <c r="G10" s="6">
        <f>HYPERLINK("https://docs.python.org/3/tutorial/inputoutput.html#reading-and-writing-files", "Docs Portal")</f>
        <v/>
      </c>
      <c r="H10" s="6">
        <f>HYPERLINK("https://www.youtube.com/watch?v=Uh2ebFW8OYM", "Watch Video")</f>
        <v/>
      </c>
    </row>
    <row r="11" ht="42" customHeight="1">
      <c r="A11" s="7" t="inlineStr">
        <is>
          <t>Day 29</t>
        </is>
      </c>
      <c r="B11" s="8" t="inlineStr">
        <is>
          <t>Week 5</t>
        </is>
      </c>
      <c r="C11" s="9" t="inlineStr">
        <is>
          <t>Python OOP: Classes</t>
        </is>
      </c>
      <c r="D11" s="9" t="inlineStr">
        <is>
          <t>Class blueprints instantiation, instance variables, methods, constructors (__init__), namespaces</t>
        </is>
      </c>
      <c r="E11" s="9" t="inlineStr">
        <is>
          <t>To group structured methods and state variables into reusable object blueprints.</t>
        </is>
      </c>
      <c r="F11" s="9" t="inlineStr">
        <is>
          <t>Model core corporate elements (e.g. Employee data card structures) using objects</t>
        </is>
      </c>
      <c r="G11" s="10">
        <f>HYPERLINK("https://docs.python.org/3/tutorial/classes.html", "Docs Portal")</f>
        <v/>
      </c>
      <c r="H11" s="10">
        <f>HYPERLINK("https://www.youtube.com/watch?v=ZDa-Z5JzLYM", "Watch Video")</f>
        <v/>
      </c>
    </row>
    <row r="12" ht="42" customHeight="1">
      <c r="A12" s="3" t="inlineStr">
        <is>
          <t>Day 30</t>
        </is>
      </c>
      <c r="B12" s="4" t="inlineStr">
        <is>
          <t>Week 5</t>
        </is>
      </c>
      <c r="C12" s="5" t="inlineStr">
        <is>
          <t>Python OOP: Inheritance</t>
        </is>
      </c>
      <c r="D12" s="5" t="inlineStr">
        <is>
          <t>Hierarchical inheritance, sub-classes expansion, function polymorphism, custom method overrides</t>
        </is>
      </c>
      <c r="E12" s="5" t="inlineStr">
        <is>
          <t>To establish flexible, hierarchical system dependencies without code duplication.</t>
        </is>
      </c>
      <c r="F12" s="5" t="inlineStr">
        <is>
          <t>Extend functional class layers into advanced sub-category objects overriding method calls</t>
        </is>
      </c>
      <c r="G12" s="6">
        <f>HYPERLINK("https://docs.python.org/3/tutorial/classes.html#inheritance", "Docs Portal")</f>
        <v/>
      </c>
      <c r="H12" s="6">
        <f>HYPERLINK("https://www.youtube.com/watch?v=RSl87lqOXDE", "Watch Video")</f>
        <v/>
      </c>
    </row>
    <row r="13" ht="42" customHeight="1">
      <c r="A13" s="7" t="inlineStr">
        <is>
          <t>Day 31</t>
        </is>
      </c>
      <c r="B13" s="8" t="inlineStr">
        <is>
          <t>Week 5</t>
        </is>
      </c>
      <c r="C13" s="9" t="inlineStr">
        <is>
          <t>Python OOP: Encapsulation</t>
        </is>
      </c>
      <c r="D13" s="9" t="inlineStr">
        <is>
          <t>Private attributes (__), property getters/setters, try-except-finally blocks, custom errors</t>
        </is>
      </c>
      <c r="E13" s="9" t="inlineStr">
        <is>
          <t>To implement defensive exception containment rules protecting critical module data metrics.</t>
        </is>
      </c>
      <c r="F13" s="9" t="inlineStr">
        <is>
          <t>Enforce strict input verification masks using private properties and exception catch blocks</t>
        </is>
      </c>
      <c r="G13" s="10">
        <f>HYPERLINK("https://docs.python.org/3/tutorial/errors.html", "Docs Portal")</f>
        <v/>
      </c>
      <c r="H13" s="10">
        <f>HYPERLINK("https://www.youtube.com/watch?v=apACNr7YdyE", "Watch Video")</f>
        <v/>
      </c>
    </row>
    <row r="14" ht="42" customHeight="1">
      <c r="A14" s="3" t="inlineStr">
        <is>
          <t>Day 32</t>
        </is>
      </c>
      <c r="B14" s="4" t="inlineStr">
        <is>
          <t>Week 5</t>
        </is>
      </c>
      <c r="C14" s="5" t="inlineStr">
        <is>
          <t>Core Library: NumPy Basics</t>
        </is>
      </c>
      <c r="D14" s="5" t="inlineStr">
        <is>
          <t>ND-arrays properties, vector types, initializing elements (zeros, ones, arange), slicing coordinates</t>
        </is>
      </c>
      <c r="E14" s="5" t="inlineStr">
        <is>
          <t>To replace loop operations with high-speed vectorized computation blocks.</t>
        </is>
      </c>
      <c r="F14" s="5" t="inlineStr">
        <is>
          <t>Initialize multi-dimensional arrays, slicing target internal matrix sub-regions</t>
        </is>
      </c>
      <c r="G14" s="6">
        <f>HYPERLINK("https://numpy.org/doc/stable/user/absolute_beginners.html", "Docs Portal")</f>
        <v/>
      </c>
      <c r="H14" s="6">
        <f>HYPERLINK("https://www.youtube.com/watch?v=QUT1VHiHSmM", "Watch Video")</f>
        <v/>
      </c>
    </row>
    <row r="15" ht="42" customHeight="1">
      <c r="A15" s="7" t="inlineStr">
        <is>
          <t>Day 33</t>
        </is>
      </c>
      <c r="B15" s="8" t="inlineStr">
        <is>
          <t>Week 5</t>
        </is>
      </c>
      <c r="C15" s="9" t="inlineStr">
        <is>
          <t>Core Library: NumPy Vector</t>
        </is>
      </c>
      <c r="D15" s="9" t="inlineStr">
        <is>
          <t>Vector math rules, universal functions (ufuncs), axis aggregate statistics, shape transformations</t>
        </is>
      </c>
      <c r="E15" s="9" t="inlineStr">
        <is>
          <t>To execute algebraic adjustments across extensive multi-axis grids instantly.</t>
        </is>
      </c>
      <c r="F15" s="9" t="inlineStr">
        <is>
          <t>Flatten complex multi-dimensional visual input channel blocks down to linear feature frames</t>
        </is>
      </c>
      <c r="G15" s="10">
        <f>HYPERLINK("https://numpy.org/doc/stable/reference/ufuncs.html", "Docs Portal")</f>
        <v/>
      </c>
      <c r="H15" s="10">
        <f>HYPERLINK("https://www.youtube.com/watch?v=QUT1VHiHSmM", "Watch Video")</f>
        <v/>
      </c>
    </row>
    <row r="16" ht="42" customHeight="1">
      <c r="A16" s="3" t="inlineStr">
        <is>
          <t>Day 34</t>
        </is>
      </c>
      <c r="B16" s="4" t="inlineStr">
        <is>
          <t>Week 5</t>
        </is>
      </c>
      <c r="C16" s="5" t="inlineStr">
        <is>
          <t>Core Library: NumPy Masks</t>
        </is>
      </c>
      <c r="D16" s="5" t="inlineStr">
        <is>
          <t>Matrix broadcasting alignments, boolean masking logic filters, index arrays extraction</t>
        </is>
      </c>
      <c r="E16" s="5" t="inlineStr">
        <is>
          <t>To filter numerical rows instantly using spatial boolean mask matrices.</t>
        </is>
      </c>
      <c r="F16" s="5" t="inlineStr">
        <is>
          <t>Extract numerical vector values from record lines exceeding standard outliers via boolean filters</t>
        </is>
      </c>
      <c r="G16" s="6">
        <f>HYPERLINK("https://numpy.org/doc/stable/user/basics.broadcasting.html", "Docs Portal")</f>
        <v/>
      </c>
      <c r="H16" s="6">
        <f>HYPERLINK("https://www.youtube.com/watch?v=QUT1VHiHSmM", "Watch Video")</f>
        <v/>
      </c>
    </row>
    <row r="17" ht="42" customHeight="1">
      <c r="A17" s="7" t="inlineStr">
        <is>
          <t>Day 35</t>
        </is>
      </c>
      <c r="B17" s="8" t="inlineStr">
        <is>
          <t>Week 6</t>
        </is>
      </c>
      <c r="C17" s="9" t="inlineStr">
        <is>
          <t>Core Library: Pandas Data</t>
        </is>
      </c>
      <c r="D17" s="9" t="inlineStr">
        <is>
          <t>Series attributes, DataFrame layouts, ingestion connectors (read_csv, read_excel, read_json)</t>
        </is>
      </c>
      <c r="E17" s="9" t="inlineStr">
        <is>
          <t>To manage storage inputs as queryable tabular layers programmatically.</t>
        </is>
      </c>
      <c r="F17" s="9" t="inlineStr">
        <is>
          <t>Load coarse raw data frames, isolating target coordinate rows via boolean masks</t>
        </is>
      </c>
      <c r="G17" s="10">
        <f>HYPERLINK("https://pandas.pydata.org/docs/user_guide/dsintro.html", "Docs Portal")</f>
        <v/>
      </c>
      <c r="H17" s="10">
        <f>HYPERLINK("https://www.youtube.com/watch?v=ZyhVh-qRZPA", "Watch Video")</f>
        <v/>
      </c>
    </row>
    <row r="18" ht="42" customHeight="1">
      <c r="A18" s="3" t="inlineStr">
        <is>
          <t>Day 36</t>
        </is>
      </c>
      <c r="B18" s="4" t="inlineStr">
        <is>
          <t>Week 6</t>
        </is>
      </c>
      <c r="C18" s="5" t="inlineStr">
        <is>
          <t>Core Library: Pandas Loc</t>
        </is>
      </c>
      <c r="D18" s="5" t="inlineStr">
        <is>
          <t>Explicit index locators (loc/iloc), compound query masks, sorting parameters labels</t>
        </is>
      </c>
      <c r="E18" s="5" t="inlineStr">
        <is>
          <t>To isolate data partitions using exact coordinate axis labels safely.</t>
        </is>
      </c>
      <c r="F18" s="5" t="inlineStr">
        <is>
          <t>Filter customer dataset rows matching multiple custom financial threshold ranges</t>
        </is>
      </c>
      <c r="G18" s="6">
        <f>HYPERLINK("https://pandas.pydata.org/docs/user_guide/indexing.html", "Docs Portal")</f>
        <v/>
      </c>
      <c r="H18" s="6">
        <f>HYPERLINK("https://www.youtube.com/watch?v=ZyhVh-qRZPA", "Watch Video")</f>
        <v/>
      </c>
    </row>
    <row r="19" ht="42" customHeight="1">
      <c r="A19" s="7" t="inlineStr">
        <is>
          <t>Day 37</t>
        </is>
      </c>
      <c r="B19" s="8" t="inlineStr">
        <is>
          <t>Week 6</t>
        </is>
      </c>
      <c r="C19" s="9" t="inlineStr">
        <is>
          <t>Pandas: Data Cleaning</t>
        </is>
      </c>
      <c r="D19" s="9" t="inlineStr">
        <is>
          <t>Missing data tracks (isnull), data imputations via fillna, deleting observations (dropna)</t>
        </is>
      </c>
      <c r="E19" s="9" t="inlineStr">
        <is>
          <t>To handle missing data blocks cleanly using statistical column median rules.</t>
        </is>
      </c>
      <c r="F19" s="9" t="inlineStr">
        <is>
          <t>Construct an automated cleansing pipe replacing missing cells with column median values</t>
        </is>
      </c>
      <c r="G19" s="10">
        <f>HYPERLINK("https://pandas.pydata.org/docs/user_guide/missing_data.html", "Docs Portal")</f>
        <v/>
      </c>
      <c r="H19" s="10">
        <f>HYPERLINK("https://www.youtube.com/watch?v=ZyhVh-qRZPA", "Watch Video")</f>
        <v/>
      </c>
    </row>
    <row r="20" ht="42" customHeight="1">
      <c r="A20" s="3" t="inlineStr">
        <is>
          <t>Day 38</t>
        </is>
      </c>
      <c r="B20" s="4" t="inlineStr">
        <is>
          <t>Week 6</t>
        </is>
      </c>
      <c r="C20" s="5" t="inlineStr">
        <is>
          <t>Pandas: Column Mapping</t>
        </is>
      </c>
      <c r="D20" s="5" t="inlineStr">
        <is>
          <t>Feature engineering, element-wise transformations (.apply), column splitting, mapping strings</t>
        </is>
      </c>
      <c r="E20" s="5" t="inlineStr">
        <is>
          <t>To map continuous feature columns and extract components from unstructured categories.</t>
        </is>
      </c>
      <c r="F20" s="5" t="inlineStr">
        <is>
          <t>Convert continuous transaction columns into categorized string feature groups dynamically</t>
        </is>
      </c>
      <c r="G20" s="6">
        <f>HYPERLINK("https://pandas.pydata.org/docs/user_guide/basics.html#function-application", "Docs Portal")</f>
        <v/>
      </c>
      <c r="H20" s="6">
        <f>HYPERLINK("https://www.youtube.com/watch?v=ZyhVh-qRZPA", "Watch Video")</f>
        <v/>
      </c>
    </row>
    <row r="21" ht="42" customHeight="1">
      <c r="A21" s="7" t="inlineStr">
        <is>
          <t>Day 39</t>
        </is>
      </c>
      <c r="B21" s="8" t="inlineStr">
        <is>
          <t>Week 6</t>
        </is>
      </c>
      <c r="C21" s="9" t="inlineStr">
        <is>
          <t>Pandas: Aggregations</t>
        </is>
      </c>
      <c r="D21" s="9" t="inlineStr">
        <is>
          <t>Splitting segments via groupby, multi-aggregations (.agg), multi-key table lookups via merge</t>
        </is>
      </c>
      <c r="E21" s="9" t="inlineStr">
        <is>
          <t>To connect separate transactional tables and group data points into segment metrics.</t>
        </is>
      </c>
      <c r="F21" s="9" t="inlineStr">
        <is>
          <t>Combine customer support interaction log frames with transactional record fields</t>
        </is>
      </c>
      <c r="G21" s="10">
        <f>HYPERLINK("https://pandas.pydata.org/docs/user_guide/groupby.html", "Docs Portal")</f>
        <v/>
      </c>
      <c r="H21" s="10">
        <f>HYPERLINK("https://www.youtube.com/watch?v=ZyhVh-qRZPA", "Watch Video")</f>
        <v/>
      </c>
    </row>
    <row r="22" ht="42" customHeight="1">
      <c r="A22" s="3" t="inlineStr">
        <is>
          <t>Day 40</t>
        </is>
      </c>
      <c r="B22" s="4" t="inlineStr">
        <is>
          <t>Week 6</t>
        </is>
      </c>
      <c r="C22" s="5" t="inlineStr">
        <is>
          <t>Data Vis: Matplotlib Core</t>
        </is>
      </c>
      <c r="D22" s="5" t="inlineStr">
        <is>
          <t>Figure canvas layouts, axis properties formatting, titles, labels, legends customization, grids</t>
        </is>
      </c>
      <c r="E22" s="5" t="inlineStr">
        <is>
          <t>To build polished graphical representations conveying key data features clearly.</t>
        </is>
      </c>
      <c r="F22" s="5" t="inlineStr">
        <is>
          <t>Format active chart components using explicit font styles, legend bounds, and hex colors</t>
        </is>
      </c>
      <c r="G22" s="6">
        <f>HYPERLINK("https://matplotlib.org/stable/users/explain/quick_start.html", "Docs Portal")</f>
        <v/>
      </c>
      <c r="H22" s="6">
        <f>HYPERLINK("https://www.youtube.com/watch?v=wB9C0Mz9gSo", "Watch Video")</f>
        <v/>
      </c>
    </row>
    <row r="23" ht="42" customHeight="1">
      <c r="A23" s="7" t="inlineStr">
        <is>
          <t>Day 41</t>
        </is>
      </c>
      <c r="B23" s="8" t="inlineStr">
        <is>
          <t>Week 6</t>
        </is>
      </c>
      <c r="C23" s="9" t="inlineStr">
        <is>
          <t>Data Vis: Plots &amp; Bounds</t>
        </is>
      </c>
      <c r="D23" s="9" t="inlineStr">
        <is>
          <t>Histograms bins setups, box plots distributions, scatter plots with alpha transparency parameter settings</t>
        </is>
      </c>
      <c r="E23" s="9" t="inlineStr">
        <is>
          <t>To spot statistical variations, spatial correlations, and outliers visually.</t>
        </is>
      </c>
      <c r="F23" s="9" t="inlineStr">
        <is>
          <t>Graph product distribution ranges to inspect feature data variations and catch outliers</t>
        </is>
      </c>
      <c r="G23" s="10">
        <f>HYPERLINK("https://matplotlib.org/stable/api/_as_gen/matplotlib.pyplot.hist.html", "Docs Portal")</f>
        <v/>
      </c>
      <c r="H23" s="10">
        <f>HYPERLINK("https://www.youtube.com/watch?v=wB9C0Mz9gSo", "Watch Video")</f>
        <v/>
      </c>
    </row>
    <row r="24" ht="42" customHeight="1">
      <c r="A24" s="3" t="inlineStr">
        <is>
          <t>Day 42</t>
        </is>
      </c>
      <c r="B24" s="4" t="inlineStr">
        <is>
          <t>Week 6</t>
        </is>
      </c>
      <c r="C24" s="5" t="inlineStr">
        <is>
          <t>Data Vis: Layout Grids</t>
        </is>
      </c>
      <c r="D24" s="5" t="inlineStr">
        <is>
          <t>Multi-panel subplots creation (plt.subplots), axis coordinates routing, exporting graphics (savefig)</t>
        </is>
      </c>
      <c r="E24" s="5" t="inlineStr">
        <is>
          <t>To bundle separate metrics into uniform scientific report layouts cleanly.</t>
        </is>
      </c>
      <c r="F24" s="5" t="inlineStr">
        <is>
          <t>Construct unified multi-chart dashboard views showing lines, bars, and boxes side-by-side</t>
        </is>
      </c>
      <c r="G24" s="6">
        <f>HYPERLINK("https://matplotlib.org/stable/gallery/subplots_axes_and_figures/subplots_demo.html", "Docs Portal")</f>
        <v/>
      </c>
      <c r="H24" s="6">
        <f>HYPERLINK("https://www.youtube.com/watch?v=wB9C0Mz9gSo", "Watch Video")</f>
        <v/>
      </c>
    </row>
    <row r="25" ht="42" customHeight="1">
      <c r="A25" s="7" t="inlineStr">
        <is>
          <t>Day 43</t>
        </is>
      </c>
      <c r="B25" s="8" t="inlineStr">
        <is>
          <t>Week 7</t>
        </is>
      </c>
      <c r="C25" s="9" t="inlineStr">
        <is>
          <t>Scikit-Learn Prep Rules</t>
        </is>
      </c>
      <c r="D25" s="9" t="inlineStr">
        <is>
          <t>Data split partitions (train_test_split), categorical encoding mappings, standard data scaling</t>
        </is>
      </c>
      <c r="E25" s="9" t="inlineStr">
        <is>
          <t>To partition metrics arrays and scale independent features uniformly before running modeling.</t>
        </is>
      </c>
      <c r="F25" s="9" t="inlineStr">
        <is>
          <t>Pass unpolished string features through robust preprocessing pipelines utilizing automated scaling arrays</t>
        </is>
      </c>
      <c r="G25" s="10">
        <f>HYPERLINK("https://scikit-learn.org/stable/modules/preprocessing.html", "Docs Portal")</f>
        <v/>
      </c>
      <c r="H25" s="10">
        <f>HYPERLINK("https://www.youtube.com/playlist?list=PLblh5JKOoLUICTaGLRoHQDuF_7q2GfuJF", "Watch Video")</f>
        <v/>
      </c>
    </row>
    <row r="26" ht="42" customHeight="1">
      <c r="A26" s="3" t="inlineStr">
        <is>
          <t>Day 44</t>
        </is>
      </c>
      <c r="B26" s="4" t="inlineStr">
        <is>
          <t>Week 7</t>
        </is>
      </c>
      <c r="C26" s="5" t="inlineStr">
        <is>
          <t>Scikit-Learn Regression</t>
        </is>
      </c>
      <c r="D26" s="5" t="inlineStr">
        <is>
          <t>Supervised Ordinary Least Squares (LinearRegression), matching fit indices, checking model attributes</t>
        </is>
      </c>
      <c r="E26" s="5" t="inlineStr">
        <is>
          <t>To compute continuous linear parameters and trace parameter correlation indicators.</t>
        </is>
      </c>
      <c r="F26" s="5" t="inlineStr">
        <is>
          <t>Build and fit a predictive regression model tracking feature correlations to metric outputs</t>
        </is>
      </c>
      <c r="G26" s="6">
        <f>HYPERLINK("https://scikit-learn.org/stable/modules/linear_model.html#ordinary-least-squares", "Docs Portal")</f>
        <v/>
      </c>
      <c r="H26" s="6">
        <f>HYPERLINK("https://www.youtube.com/playlist?list=PLblh5JKOoLUICTaGLRoHQDuF_7q2GfuJF", "Watch Video")</f>
        <v/>
      </c>
    </row>
    <row r="27" ht="42" customHeight="1">
      <c r="A27" s="7" t="inlineStr">
        <is>
          <t>Day 45</t>
        </is>
      </c>
      <c r="B27" s="8" t="inlineStr">
        <is>
          <t>Week 7</t>
        </is>
      </c>
      <c r="C27" s="9" t="inlineStr">
        <is>
          <t>Scikit-Learn Diagnostic</t>
        </is>
      </c>
      <c r="D27" s="9" t="inlineStr">
        <is>
          <t>Loss scoring calculators (mean_absolute_error, mean_squared_error, r2_score variance metric boundaries)</t>
        </is>
      </c>
      <c r="E27" s="9" t="inlineStr">
        <is>
          <t>To verify model predictive drop thresholds against test subsets.</t>
        </is>
      </c>
      <c r="F27" s="9" t="inlineStr">
        <is>
          <t>Compute continuous validation errors testing models against separate check files</t>
        </is>
      </c>
      <c r="G27" s="10">
        <f>HYPERLINK("https://scikit-learn.org/stable/modules/model_evaluation.html#regression-metrics", "Docs Portal")</f>
        <v/>
      </c>
      <c r="H27" s="10">
        <f>HYPERLINK("https://www.youtube.com/playlist?list=PLKnIA16_RmvbAl7lyqVvRI-cz3BwAd3mU", "Watch Video")</f>
        <v/>
      </c>
    </row>
    <row r="28" ht="42" customHeight="1">
      <c r="A28" s="3" t="inlineStr">
        <is>
          <t>Day 46</t>
        </is>
      </c>
      <c r="B28" s="4" t="inlineStr">
        <is>
          <t>Week 7</t>
        </is>
      </c>
      <c r="C28" s="11" t="inlineStr">
        <is>
          <t>Project: Pipeline Release</t>
        </is>
      </c>
      <c r="D28" s="5" t="inlineStr">
        <is>
          <t>Pipeline blocks assembly, grid parameter hyperparameter tuning loops via GridSearchCV arrays via Git</t>
        </is>
      </c>
      <c r="E28" s="5" t="inlineStr">
        <is>
          <t>To build and track complete data-prep to model-inference flows via Git.</t>
        </is>
      </c>
      <c r="F28" s="11" t="inlineStr">
        <is>
          <t>Project: Develop OOP Data Processing, Cleaning &amp; Visual Reporting Engine via Git Workflow</t>
        </is>
      </c>
      <c r="G28" s="6">
        <f>HYPERLINK("https://scikit-learn.org/stable/modules/generated/sklearn.pipeline.Pipeline.html", "Docs Portal")</f>
        <v/>
      </c>
      <c r="H28" s="6">
        <f>HYPERLINK("https://www.youtube.com/watch?v=0B5eIE_1vpU", "Watch Video")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55" customWidth="1" min="4" max="4"/>
    <col width="55" customWidth="1" min="5" max="5"/>
    <col width="55" customWidth="1" min="6" max="6"/>
    <col width="21" customWidth="1" min="7" max="7"/>
    <col width="21" customWidth="1" min="8" max="8"/>
  </cols>
  <sheetData>
    <row r="1" ht="40" customHeight="1">
      <c r="A1" s="1" t="inlineStr">
        <is>
          <t>Business Intelligence Visual Reports &amp; Analytical DAX Modeling (Days 47 - 53)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Core Concepts &amp; Visual Frameworks</t>
        </is>
      </c>
      <c r="E3" s="2" t="inlineStr">
        <is>
          <t>Purpose (Why Learn This?)</t>
        </is>
      </c>
      <c r="F3" s="2" t="inlineStr">
        <is>
          <t>Hands-on Analytical Objective</t>
        </is>
      </c>
      <c r="G3" s="2" t="inlineStr">
        <is>
          <t>Documentation Link</t>
        </is>
      </c>
      <c r="H3" s="2" t="inlineStr">
        <is>
          <t>YouTube Link</t>
        </is>
      </c>
    </row>
    <row r="4" ht="42" customHeight="1">
      <c r="A4" s="3" t="inlineStr">
        <is>
          <t>Day 47</t>
        </is>
      </c>
      <c r="B4" s="4" t="inlineStr">
        <is>
          <t>Week 8</t>
        </is>
      </c>
      <c r="C4" s="5" t="inlineStr">
        <is>
          <t>Power BI Architecture &amp; ETL</t>
        </is>
      </c>
      <c r="D4" s="5" t="inlineStr">
        <is>
          <t>Interface tabs, workspace, connectors (SQL, CSV), Power Query Editor loading</t>
        </is>
      </c>
      <c r="E4" s="5" t="inlineStr">
        <is>
          <t>To bring external transaction tables into dedicated enterprise report workspaces safely.</t>
        </is>
      </c>
      <c r="F4" s="5" t="inlineStr">
        <is>
          <t>Connect Power BI tool to local files, launch query transformations</t>
        </is>
      </c>
      <c r="G4" s="6">
        <f>HYPERLINK("https://learn.microsoft.com/en-us/power-bi/", "Official Docs")</f>
        <v/>
      </c>
      <c r="H4" s="6">
        <f>HYPERLINK("https://www.youtube.com/watch?v=AGrl-H87pRU", "Watch Video Course")</f>
        <v/>
      </c>
    </row>
    <row r="5" ht="42" customHeight="1">
      <c r="A5" s="7" t="inlineStr">
        <is>
          <t>Day 48</t>
        </is>
      </c>
      <c r="B5" s="8" t="inlineStr">
        <is>
          <t>Week 8</t>
        </is>
      </c>
      <c r="C5" s="9" t="inlineStr">
        <is>
          <t>Data Transformation &amp; Cleansing</t>
        </is>
      </c>
      <c r="D5" s="9" t="inlineStr">
        <is>
          <t>Data type casting, stripping blank columns, unpivoting metrics, merging tables</t>
        </is>
      </c>
      <c r="E5" s="9" t="inlineStr">
        <is>
          <t>To clean, reshape, and reshape unstructured columns using Power Query.</t>
        </is>
      </c>
      <c r="F5" s="9" t="inlineStr">
        <is>
          <t>Clean and reshape unstructured transactional columns via Power Query</t>
        </is>
      </c>
      <c r="G5" s="10">
        <f>HYPERLINK("https://learn.microsoft.com/en-us/power-query/", "Official Docs")</f>
        <v/>
      </c>
      <c r="H5" s="10">
        <f>HYPERLINK("https://www.youtube.com/watch?v=TmsXgMvB_Gg", "Watch Video Course")</f>
        <v/>
      </c>
    </row>
    <row r="6" ht="42" customHeight="1">
      <c r="A6" s="3" t="inlineStr">
        <is>
          <t>Day 49</t>
        </is>
      </c>
      <c r="B6" s="4" t="inlineStr">
        <is>
          <t>Week 8</t>
        </is>
      </c>
      <c r="C6" s="5" t="inlineStr">
        <is>
          <t>Data Modeling Foundations</t>
        </is>
      </c>
      <c r="D6" s="5" t="inlineStr">
        <is>
          <t>Relational data structures, Star Schema schema architecture, Fact vs Dimension entities</t>
        </is>
      </c>
      <c r="E6" s="5" t="inlineStr">
        <is>
          <t>To establish database link rules mapping clean dimension logs onto fact totals.</t>
        </is>
      </c>
      <c r="F6" s="5" t="inlineStr">
        <is>
          <t>Build active database links, shaping star schemas out of flat files</t>
        </is>
      </c>
      <c r="G6" s="6">
        <f>HYPERLINK("https://learn.microsoft.com/en-us/power-bi/guidance/star-schema", "Official Docs")</f>
        <v/>
      </c>
      <c r="H6" s="6">
        <f>HYPERLINK("https://www.youtube.com/watch?v=AGrl-H87pRU", "Watch Video Course")</f>
        <v/>
      </c>
    </row>
    <row r="7" ht="42" customHeight="1">
      <c r="A7" s="7" t="inlineStr">
        <is>
          <t>Day 50</t>
        </is>
      </c>
      <c r="B7" s="8" t="inlineStr">
        <is>
          <t>Week 8</t>
        </is>
      </c>
      <c r="C7" s="9" t="inlineStr">
        <is>
          <t>DAX Foundations: Fields &amp; Columns</t>
        </is>
      </c>
      <c r="D7" s="9" t="inlineStr">
        <is>
          <t>Calculated columns vs implicit measures, basic syntax, math syntax operations</t>
        </is>
      </c>
      <c r="E7" s="9" t="inlineStr">
        <is>
          <t>To build fast metric calculations using high-performance column logic queries.</t>
        </is>
      </c>
      <c r="F7" s="9" t="inlineStr">
        <is>
          <t>Write customized columns computing profit rates per record row</t>
        </is>
      </c>
      <c r="G7" s="10">
        <f>HYPERLINK("https://learn.microsoft.com/en-us/dax/", "Official Docs")</f>
        <v/>
      </c>
      <c r="H7" s="10">
        <f>HYPERLINK("https://www.youtube.com/watch?v=AGrl-H87pRU", "Watch Video Course")</f>
        <v/>
      </c>
    </row>
    <row r="8" ht="42" customHeight="1">
      <c r="A8" s="3" t="inlineStr">
        <is>
          <t>Day 51</t>
        </is>
      </c>
      <c r="B8" s="4" t="inlineStr">
        <is>
          <t>Week 8</t>
        </is>
      </c>
      <c r="C8" s="5" t="inlineStr">
        <is>
          <t>The CALCULATE Modifier</t>
        </is>
      </c>
      <c r="D8" s="5" t="inlineStr">
        <is>
          <t>Context transition properties, overriding active row selections, filter injections</t>
        </is>
      </c>
      <c r="E8" s="5" t="inlineStr">
        <is>
          <t>To override screen visual filters and drive precise context metric calculations.</t>
        </is>
      </c>
      <c r="F8" s="5" t="inlineStr">
        <is>
          <t>Compute gross product line metrics by overriding local card filter inputs</t>
        </is>
      </c>
      <c r="G8" s="6">
        <f>HYPERLINK("https://learn.microsoft.com/en-us/dax/calculate-function-dax", "Official Docs")</f>
        <v/>
      </c>
      <c r="H8" s="6">
        <f>HYPERLINK("https://www.youtube.com/watch?v=TmsXgMvB_Gg", "Watch Video Course")</f>
        <v/>
      </c>
    </row>
    <row r="9" ht="42" customHeight="1">
      <c r="A9" s="7" t="inlineStr">
        <is>
          <t>Day 52</t>
        </is>
      </c>
      <c r="B9" s="8" t="inlineStr">
        <is>
          <t>Week 8</t>
        </is>
      </c>
      <c r="C9" s="9" t="inlineStr">
        <is>
          <t>Advanced DAX Iterators</t>
        </is>
      </c>
      <c r="D9" s="9" t="inlineStr">
        <is>
          <t>Evaluating dynamic row records (SUMX, AVERAGEX, RANKX), intermediate states</t>
        </is>
      </c>
      <c r="E9" s="9" t="inlineStr">
        <is>
          <t>To calculate localized custom variations row-by-row within custom background memory loops.</t>
        </is>
      </c>
      <c r="F9" s="9" t="inlineStr">
        <is>
          <t>Formulate conditional performance rank values across global regions</t>
        </is>
      </c>
      <c r="G9" s="10">
        <f>HYPERLINK("https://learn.microsoft.com/en-us/dax/expression-queries", "Official Docs")</f>
        <v/>
      </c>
      <c r="H9" s="10">
        <f>HYPERLINK("https://www.youtube.com/watch?v=TmsXgMvB_Gg", "Watch Video Course")</f>
        <v/>
      </c>
    </row>
    <row r="10" ht="42" customHeight="1">
      <c r="A10" s="3" t="inlineStr">
        <is>
          <t>Day 53</t>
        </is>
      </c>
      <c r="B10" s="4" t="inlineStr">
        <is>
          <t>Week 8</t>
        </is>
      </c>
      <c r="C10" s="11" t="inlineStr">
        <is>
          <t>Project: Enterprise Report</t>
        </is>
      </c>
      <c r="D10" s="5" t="inlineStr">
        <is>
          <t>Report canvases, component charts, cross-filters, publication configurations</t>
        </is>
      </c>
      <c r="E10" s="5" t="inlineStr">
        <is>
          <t>To bundle dynamic dataset metrics into interactive layouts with clean filter cross-slicing.</t>
        </is>
      </c>
      <c r="F10" s="11" t="inlineStr">
        <is>
          <t>Project: Build End-to-End interactive Corporate Sales Performance Dashboard</t>
        </is>
      </c>
      <c r="G10" s="6">
        <f>HYPERLINK("https://learn.microsoft.com/en-us/power-bi/create-reports/", "Official Docs")</f>
        <v/>
      </c>
      <c r="H10" s="6">
        <f>HYPERLINK("https://www.youtube.com/watch?v=AGrl-H87pRU", "Watch Video Course")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55" customWidth="1" min="4" max="4"/>
    <col width="55" customWidth="1" min="5" max="5"/>
    <col width="55" customWidth="1" min="6" max="6"/>
    <col width="26" customWidth="1" min="7" max="7"/>
    <col width="21" customWidth="1" min="8" max="8"/>
  </cols>
  <sheetData>
    <row r="1" ht="40" customHeight="1">
      <c r="A1" s="1" t="inlineStr">
        <is>
          <t>Supervised Classifiers, Ensemble Estimators &amp; Unsupervised Clustering Modalities (Days 54 - 65)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Algorithmic Pipeline Mechanics &amp; Math</t>
        </is>
      </c>
      <c r="E3" s="2" t="inlineStr">
        <is>
          <t>Purpose (Why Learn This?)</t>
        </is>
      </c>
      <c r="F3" s="2" t="inlineStr">
        <is>
          <t>Machine Learning Pipeline Coding Target</t>
        </is>
      </c>
      <c r="G3" s="2" t="inlineStr">
        <is>
          <t>Official Reference Link</t>
        </is>
      </c>
      <c r="H3" s="2" t="inlineStr">
        <is>
          <t>YouTube Link</t>
        </is>
      </c>
    </row>
    <row r="4" ht="42" customHeight="1">
      <c r="A4" s="3" t="inlineStr">
        <is>
          <t>Day 54</t>
        </is>
      </c>
      <c r="B4" s="4" t="inlineStr">
        <is>
          <t>Week 9</t>
        </is>
      </c>
      <c r="C4" s="5" t="inlineStr">
        <is>
          <t>Supervised Logistic Classifiers</t>
        </is>
      </c>
      <c r="D4" s="5" t="inlineStr">
        <is>
          <t>Binary classification steps, continuous sigmoid mappings, log-loss error cost parameters</t>
        </is>
      </c>
      <c r="E4" s="5" t="inlineStr">
        <is>
          <t>To classify targets programmatically based on localized event probability outcomes.</t>
        </is>
      </c>
      <c r="F4" s="5" t="inlineStr">
        <is>
          <t>Train transactional probability classification routes mapping binary target events</t>
        </is>
      </c>
      <c r="G4" s="6">
        <f>HYPERLINK("https://scikit-learn.org/stable/modules/linear_model.html#logistic-regression", "Official Docs")</f>
        <v/>
      </c>
      <c r="H4" s="6">
        <f>HYPERLINK("https://www.youtube.com/playlist?list=PLblh5JKOoLUICTaGLRoHQDuF_7q2GfuJF", "Watch Tutorial Course")</f>
        <v/>
      </c>
    </row>
    <row r="5" ht="42" customHeight="1">
      <c r="A5" s="7" t="inlineStr">
        <is>
          <t>Day 55</t>
        </is>
      </c>
      <c r="B5" s="8" t="inlineStr">
        <is>
          <t>Week 9</t>
        </is>
      </c>
      <c r="C5" s="9" t="inlineStr">
        <is>
          <t>Classification Matrix Diagnostics</t>
        </is>
      </c>
      <c r="D5" s="9" t="inlineStr">
        <is>
          <t>Extracting confusion_matrix layouts, calculating precision_score, recall_score, F1 metrics, ROC-AUC profiles</t>
        </is>
      </c>
      <c r="E5" s="9" t="inlineStr">
        <is>
          <t>To monitor model decision accuracy trends without being misled by imbalanced dataset shapes.</t>
        </is>
      </c>
      <c r="F5" s="9" t="inlineStr">
        <is>
          <t>Evaluate imbalanced data rows, updating decision lines to emphasize high recall metrics</t>
        </is>
      </c>
      <c r="G5" s="10">
        <f>HYPERLINK("https://scikit-learn.org/stable/modules/model_evaluation.html#classification-metrics", "Official Docs")</f>
        <v/>
      </c>
      <c r="H5" s="10">
        <f>HYPERLINK("https://www.youtube.com/playlist?list=PLblh5JKOoLUICTaGLRoHQDuF_7q2GfuJF", "Watch Tutorial Course")</f>
        <v/>
      </c>
    </row>
    <row r="6" ht="42" customHeight="1">
      <c r="A6" s="3" t="inlineStr">
        <is>
          <t>Day 56</t>
        </is>
      </c>
      <c r="B6" s="4" t="inlineStr">
        <is>
          <t>Week 9</t>
        </is>
      </c>
      <c r="C6" s="5" t="inlineStr">
        <is>
          <t>K-Nearest Neighbors &amp; SVM</t>
        </is>
      </c>
      <c r="D6" s="5" t="inlineStr">
        <is>
          <t>Distance parameters calculations (Euclidean vs Manhattan), maximal margin space hyperplanes, non-linear kernels</t>
        </is>
      </c>
      <c r="E6" s="5" t="inlineStr">
        <is>
          <t>To isolate classification classes using geographic boundaries or soft margin kernel tricks.</t>
        </is>
      </c>
      <c r="F6" s="5" t="inlineStr">
        <is>
          <t>Separate complex geometric target classes via soft margin space support vector machines</t>
        </is>
      </c>
      <c r="G6" s="6">
        <f>HYPERLINK("https://scikit-learn.org/stable/modules/svm.html", "Official Docs")</f>
        <v/>
      </c>
      <c r="H6" s="6">
        <f>HYPERLINK("https://www.youtube.com/playlist?list=PLblh5JKOoLUICTaGLRoHQDuF_7q2GfuJF", "Watch Tutorial Course")</f>
        <v/>
      </c>
    </row>
    <row r="7" ht="42" customHeight="1">
      <c r="A7" s="7" t="inlineStr">
        <is>
          <t>Day 57</t>
        </is>
      </c>
      <c r="B7" s="8" t="inlineStr">
        <is>
          <t>Week 9</t>
        </is>
      </c>
      <c r="C7" s="9" t="inlineStr">
        <is>
          <t>Naive Bayes &amp; Decision Trees</t>
        </is>
      </c>
      <c r="D7" s="9" t="inlineStr">
        <is>
          <t>Conditional feature boundaries, text token probability loops, Information Gain splits, Gini index scores</t>
        </is>
      </c>
      <c r="E7" s="9" t="inlineStr">
        <is>
          <t>To map explicit feature divisions hierarchically or calculate probabilistic tags on texts.</t>
        </is>
      </c>
      <c r="F7" s="9" t="inlineStr">
        <is>
          <t>Graph sequential split thresholds mapping structured parameter reductions over decisions branches</t>
        </is>
      </c>
      <c r="G7" s="10">
        <f>HYPERLINK("https://scikit-learn.org/stable/tree.html", "Official Docs")</f>
        <v/>
      </c>
      <c r="H7" s="10">
        <f>HYPERLINK("https://www.youtube.com/playlist?list=PLblh5JKOoLUICTaGLRoHQDuF_7q2GfuJF", "Watch Tutorial Course")</f>
        <v/>
      </c>
    </row>
    <row r="8" ht="42" customHeight="1">
      <c r="A8" s="3" t="inlineStr">
        <is>
          <t>Day 58</t>
        </is>
      </c>
      <c r="B8" s="4" t="inlineStr">
        <is>
          <t>Week 9</t>
        </is>
      </c>
      <c r="C8" s="11" t="inlineStr">
        <is>
          <t>Project: Supervised Risk Tracker</t>
        </is>
      </c>
      <c r="D8" s="5" t="inlineStr">
        <is>
          <t>Classifier pipeline assembly, threshold tuning, handling class imbalances natively</t>
        </is>
      </c>
      <c r="E8" s="5" t="inlineStr">
        <is>
          <t>To build complete classification alert engines designed to support business metric outcomes.</t>
        </is>
      </c>
      <c r="F8" s="11" t="inlineStr">
        <is>
          <t>Project: Construct Bank Customer Churn Risk Prediction Dashboard and pipeline filters</t>
        </is>
      </c>
      <c r="G8" s="6">
        <f>HYPERLINK("https://scikit-learn.org/stable/modules/generated/sklearn.pipeline.Pipeline.html", "Official Docs")</f>
        <v/>
      </c>
      <c r="H8" s="6">
        <f>HYPERLINK("https://www.youtube.com/playlist?list=PLKnIA16_RmvbAl7lyqVvRI-cz3BwAd3mU", "Watch Tutorial Course")</f>
        <v/>
      </c>
    </row>
    <row r="9" ht="42" customHeight="1">
      <c r="A9" s="7" t="inlineStr">
        <is>
          <t>Day 59</t>
        </is>
      </c>
      <c r="B9" s="8" t="inlineStr">
        <is>
          <t>Week 9</t>
        </is>
      </c>
      <c r="C9" s="9" t="inlineStr">
        <is>
          <t>Ensemble Methods: Bagging</t>
        </is>
      </c>
      <c r="D9" s="9" t="inlineStr">
        <is>
          <t>RandomForestClassifier parameters, bootstrapping samples checkpoints, tracking feature_importances_</t>
        </is>
      </c>
      <c r="E9" s="9" t="inlineStr">
        <is>
          <t>To aggregate variable decision tree trees, reducing overall estimator variance errors.</t>
        </is>
      </c>
      <c r="F9" s="9" t="inlineStr">
        <is>
          <t>Fit robust ensemble random forest blocks logging attribute importance scores across classes</t>
        </is>
      </c>
      <c r="G9" s="10">
        <f>HYPERLINK("https://scikit-learn.org/stable/modules/ensemble.html#forests-of-randomized-trees", "Official Docs")</f>
        <v/>
      </c>
      <c r="H9" s="10">
        <f>HYPERLINK("https://www.youtube.com/playlist?list=PLblh5JKOoLUICTaGLRoHQDuF_7q2GfuJF", "Watch Tutorial Course")</f>
        <v/>
      </c>
    </row>
    <row r="10" ht="42" customHeight="1">
      <c r="A10" s="3" t="inlineStr">
        <is>
          <t>Day 60</t>
        </is>
      </c>
      <c r="B10" s="4" t="inlineStr">
        <is>
          <t>Week 9</t>
        </is>
      </c>
      <c r="C10" s="5" t="inlineStr">
        <is>
          <t>Ensemble Methods: Boosting</t>
        </is>
      </c>
      <c r="D10" s="5" t="inlineStr">
        <is>
          <t>Sequential boosting passes, correcting data error residues, leaf growth tracks (XGBoost / LightGBM)</t>
        </is>
      </c>
      <c r="E10" s="5" t="inlineStr">
        <is>
          <t>To optimize ensemble components sequentially, maximizing raw model accuracy targets.</t>
        </is>
      </c>
      <c r="F10" s="5" t="inlineStr">
        <is>
          <t>Deploy optimized high-speed XGBoost tree correctors over multi-feature tabular tables</t>
        </is>
      </c>
      <c r="G10" s="6">
        <f>HYPERLINK("https://xgboost.readthedocs.io/en/stable/", "Official Docs")</f>
        <v/>
      </c>
      <c r="H10" s="6">
        <f>HYPERLINK("https://www.youtube.com/watch?v=OtD8wVaFm6E", "Watch Tutorial Course")</f>
        <v/>
      </c>
    </row>
    <row r="11" ht="42" customHeight="1">
      <c r="A11" s="7" t="inlineStr">
        <is>
          <t>Day 61</t>
        </is>
      </c>
      <c r="B11" s="8" t="inlineStr">
        <is>
          <t>Week 10</t>
        </is>
      </c>
      <c r="C11" s="9" t="inlineStr">
        <is>
          <t>Unsupervised: K-Means Clustering</t>
        </is>
      </c>
      <c r="D11" s="9" t="inlineStr">
        <is>
          <t>Distance metrics equations, centroid placement loops, spatial clusters matching, Inertia parameters</t>
        </is>
      </c>
      <c r="E11" s="9" t="inlineStr">
        <is>
          <t>To sort unlabeled records programmatically based on relative spatial geometric coordinates.</t>
        </is>
      </c>
      <c r="F11" s="9" t="inlineStr">
        <is>
          <t>Map database cells over Elbow plots to track cluster variation boundaries</t>
        </is>
      </c>
      <c r="G11" s="10">
        <f>HYPERLINK("https://scikit-learn.org/stable/modules/clustering.html#k-means", "Official Docs")</f>
        <v/>
      </c>
      <c r="H11" s="10">
        <f>HYPERLINK("https://www.youtube.com/watch?v=4b5d3muPQmA", "Watch Tutorial Course")</f>
        <v/>
      </c>
    </row>
    <row r="12" ht="42" customHeight="1">
      <c r="A12" s="3" t="inlineStr">
        <is>
          <t>Day 62</t>
        </is>
      </c>
      <c r="B12" s="4" t="inlineStr">
        <is>
          <t>Week 10</t>
        </is>
      </c>
      <c r="C12" s="5" t="inlineStr">
        <is>
          <t>Unsupervised: Density DBSCAN</t>
        </is>
      </c>
      <c r="D12" s="5" t="inlineStr">
        <is>
          <t>Epsilon parameters radius, core coordinate criteria markers, filtering sparse noise grids</t>
        </is>
      </c>
      <c r="E12" s="5" t="inlineStr">
        <is>
          <t>To capture complicated non-linear geometric classes while blocking raw background noise cells cleanly.</t>
        </is>
      </c>
      <c r="F12" s="5" t="inlineStr">
        <is>
          <t>Isolate core high-density coordinate boundaries from sparse background anomalies via DBSCAN</t>
        </is>
      </c>
      <c r="G12" s="6">
        <f>HYPERLINK("https://scikit-learn.org/stable/modules/clustering.html#dbscan", "Official Docs")</f>
        <v/>
      </c>
      <c r="H12" s="6">
        <f>HYPERLINK("https://www.youtube.com/watch?v=7xHsRkOdVwo", "Watch Tutorial Course")</f>
        <v/>
      </c>
    </row>
    <row r="13" ht="42" customHeight="1">
      <c r="A13" s="7" t="inlineStr">
        <is>
          <t>Day 63</t>
        </is>
      </c>
      <c r="B13" s="8" t="inlineStr">
        <is>
          <t>Week 10</t>
        </is>
      </c>
      <c r="C13" s="9" t="inlineStr">
        <is>
          <t>Unsupervised: Gaussian Mixtures</t>
        </is>
      </c>
      <c r="D13" s="9" t="inlineStr">
        <is>
          <t>Probabilistic continuous profiles, expectation-maximization updates, mapping soft cluster indicators</t>
        </is>
      </c>
      <c r="E13" s="9" t="inlineStr">
        <is>
          <t>To assign continuous model probability scores tracking fuzzy, overlapping group boundaries.</t>
        </is>
      </c>
      <c r="F13" s="9" t="inlineStr">
        <is>
          <t>Assign cluster percentage metrics onto overlapping client database elements via GMM rows</t>
        </is>
      </c>
      <c r="G13" s="10">
        <f>HYPERLINK("https://scikit-learn.org/stable/modules/mixture.html", "Official Docs")</f>
        <v/>
      </c>
      <c r="H13" s="10">
        <f>HYPERLINK("https://www.youtube.com/watch?v=REypj2sy_5U", "Watch Tutorial Course")</f>
        <v/>
      </c>
    </row>
    <row r="14" ht="42" customHeight="1">
      <c r="A14" s="3" t="inlineStr">
        <is>
          <t>Day 64</t>
        </is>
      </c>
      <c r="B14" s="4" t="inlineStr">
        <is>
          <t>Week 10</t>
        </is>
      </c>
      <c r="C14" s="5" t="inlineStr">
        <is>
          <t>Unsupervised: PCA Dimensions</t>
        </is>
      </c>
      <c r="D14" s="5" t="inlineStr">
        <is>
          <t>Covariance space matrix parsing, component projections, tracking explained variances</t>
        </is>
      </c>
      <c r="E14" s="5" t="inlineStr">
        <is>
          <t>To contract thousands of redundant dataset variables into dense, independent component dimensions.</t>
        </is>
      </c>
      <c r="F14" s="5" t="inlineStr">
        <is>
          <t>Reduce extensive data column structures down into essential orthogonal components</t>
        </is>
      </c>
      <c r="G14" s="6">
        <f>HYPERLINK("https://scikit-learn.org/stable/modules/decomposition.html#pca", "Official Docs")</f>
        <v/>
      </c>
      <c r="H14" s="6">
        <f>HYPERLINK("https://www.youtube.com/watch?v=FgakZw6K1QQ", "Watch Tutorial Course")</f>
        <v/>
      </c>
    </row>
    <row r="15" ht="42" customHeight="1">
      <c r="A15" s="7" t="inlineStr">
        <is>
          <t>Day 65</t>
        </is>
      </c>
      <c r="B15" s="8" t="inlineStr">
        <is>
          <t>Week 10</t>
        </is>
      </c>
      <c r="C15" s="11" t="inlineStr">
        <is>
          <t>Project: Unsupervised Clusters</t>
        </is>
      </c>
      <c r="D15" s="9" t="inlineStr">
        <is>
          <t>Dimension reductions, continuous cluster mapping transformations, outlier isolations</t>
        </is>
      </c>
      <c r="E15" s="9" t="inlineStr">
        <is>
          <t>To discover actionable customer profiling classifications from raw unlabeled database repositories.</t>
        </is>
      </c>
      <c r="F15" s="11" t="inlineStr">
        <is>
          <t>Project: Build Unsupervised Customer Behavioral Segmentation &amp; Outlier Model</t>
        </is>
      </c>
      <c r="G15" s="10">
        <f>HYPERLINK("https://scikit-learn.org/stable/modules/clustering.html", "Official Docs")</f>
        <v/>
      </c>
      <c r="H15" s="10">
        <f>HYPERLINK("https://www.youtube.com/playlist?list=PLKnIA16_RmvbAl7lyqVvRI-cz3BwAd3mU", "Watch Tutorial Course")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55" customWidth="1" min="5" max="5"/>
    <col width="55" customWidth="1" min="6" max="6"/>
    <col width="26" customWidth="1" min="7" max="7"/>
    <col width="21" customWidth="1" min="8" max="8"/>
  </cols>
  <sheetData>
    <row r="1" ht="40" customHeight="1">
      <c r="A1" s="1" t="inlineStr">
        <is>
          <t>Reinforcement Learning Automations &amp; Tabular Q-Table Environments (Days 66 - 73)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Mathematical &amp; Structural RL Components</t>
        </is>
      </c>
      <c r="E3" s="2" t="inlineStr">
        <is>
          <t>Purpose (Why Learn This?)</t>
        </is>
      </c>
      <c r="F3" s="2" t="inlineStr">
        <is>
          <t>Practical Laboratory / Environment Goal</t>
        </is>
      </c>
      <c r="G3" s="2" t="inlineStr">
        <is>
          <t>Official Framework Link</t>
        </is>
      </c>
      <c r="H3" s="2" t="inlineStr">
        <is>
          <t>YouTube Link</t>
        </is>
      </c>
    </row>
    <row r="4" ht="42" customHeight="1">
      <c r="A4" s="3" t="inlineStr">
        <is>
          <t>Day 66</t>
        </is>
      </c>
      <c r="B4" s="4" t="inlineStr">
        <is>
          <t>Week 11</t>
        </is>
      </c>
      <c r="C4" s="5" t="inlineStr">
        <is>
          <t>The RL Environment Loop</t>
        </is>
      </c>
      <c r="D4" s="5" t="inlineStr">
        <is>
          <t>Agent-Environment loops, states (S), actions (A), reward returns (R), loop transitions</t>
        </is>
      </c>
      <c r="E4" s="5" t="inlineStr">
        <is>
          <t>To layout the core automation structure tracking automated step transitions.</t>
        </is>
      </c>
      <c r="F4" s="5" t="inlineStr">
        <is>
          <t>Trace environment transitions manually over simple matrix spaces</t>
        </is>
      </c>
      <c r="G4" s="6">
        <f>HYPERLINK("https://huggingface.co/deep-rl-course/unit0/introduction", "Official Docs")</f>
        <v/>
      </c>
      <c r="H4" s="6">
        <f>HYPERLINK("https://www.youtube.com/playlist?list=PLQY2H8rRoyvzoUYIq_xoGZ6UduivK5w7r", "Watch Video Course")</f>
        <v/>
      </c>
    </row>
    <row r="5" ht="42" customHeight="1">
      <c r="A5" s="7" t="inlineStr">
        <is>
          <t>Day 67</t>
        </is>
      </c>
      <c r="B5" s="8" t="inlineStr">
        <is>
          <t>Week 11</t>
        </is>
      </c>
      <c r="C5" s="9" t="inlineStr">
        <is>
          <t>Markov Decision Processes</t>
        </is>
      </c>
      <c r="D5" s="9" t="inlineStr">
        <is>
          <t>MDP frameworks, transition probabilities, cumulative rewards, discount indices</t>
        </is>
      </c>
      <c r="E5" s="9" t="inlineStr">
        <is>
          <t>To establish probability patterns mapping actions under sequential setups.</t>
        </is>
      </c>
      <c r="F5" s="9" t="inlineStr">
        <is>
          <t>Model grid movement chances using structural Markov parameters</t>
        </is>
      </c>
      <c r="G5" s="10">
        <f>HYPERLINK("https://huggingface.co/deep-rl-course/unit1/introduction", "Official Docs")</f>
        <v/>
      </c>
      <c r="H5" s="10">
        <f>HYPERLINK("https://www.youtube.com/watch?v=lfvX_7uH8S0", "Watch Video Course")</f>
        <v/>
      </c>
    </row>
    <row r="6" ht="42" customHeight="1">
      <c r="A6" s="3" t="inlineStr">
        <is>
          <t>Day 68</t>
        </is>
      </c>
      <c r="B6" s="4" t="inlineStr">
        <is>
          <t>Week 11</t>
        </is>
      </c>
      <c r="C6" s="5" t="inlineStr">
        <is>
          <t>The Bellman Equation</t>
        </is>
      </c>
      <c r="D6" s="5" t="inlineStr">
        <is>
          <t>Value tracking metrics V(s), Action-value equations Q(s,a), state value expansions</t>
        </is>
      </c>
      <c r="E6" s="5" t="inlineStr">
        <is>
          <t>To systematically solve future mathematical expectation thresholds with precision steps.</t>
        </is>
      </c>
      <c r="F6" s="5" t="inlineStr">
        <is>
          <t>Solve manual expectation values across small 4-state loop charts</t>
        </is>
      </c>
      <c r="G6" s="6">
        <f>HYPERLINK("https://huggingface.co/deep-rl-course/unit1/advantages", "Official Docs")</f>
        <v/>
      </c>
      <c r="H6" s="6">
        <f>HYPERLINK("https://www.youtube.com/watch?v=14Bf_EO_v9M", "Watch Video Course")</f>
        <v/>
      </c>
    </row>
    <row r="7" ht="42" customHeight="1">
      <c r="A7" s="7" t="inlineStr">
        <is>
          <t>Day 69</t>
        </is>
      </c>
      <c r="B7" s="8" t="inlineStr">
        <is>
          <t>Week 11</t>
        </is>
      </c>
      <c r="C7" s="9" t="inlineStr">
        <is>
          <t>Exploration vs Exploitation</t>
        </is>
      </c>
      <c r="D7" s="9" t="inlineStr">
        <is>
          <t>Epsilon-greedy parameter loops, tracking value updates, step decays</t>
        </is>
      </c>
      <c r="E7" s="9" t="inlineStr">
        <is>
          <t>To balance searching unknown state moves with selecting high-value steps.</t>
        </is>
      </c>
      <c r="F7" s="9" t="inlineStr">
        <is>
          <t>Simulate policy balancing switches shifting from random to optimal states</t>
        </is>
      </c>
      <c r="G7" s="10">
        <f>HYPERLINK("https://huggingface.co/deep-rl-course/unit1/exploration-exploitation", "Official Docs")</f>
        <v/>
      </c>
      <c r="H7" s="10">
        <f>HYPERLINK("https://www.youtube.com/watch?v=lfvX_7uH8S0", "Watch Video Course")</f>
        <v/>
      </c>
    </row>
    <row r="8" ht="42" customHeight="1">
      <c r="A8" s="3" t="inlineStr">
        <is>
          <t>Day 70</t>
        </is>
      </c>
      <c r="B8" s="4" t="inlineStr">
        <is>
          <t>Week 11</t>
        </is>
      </c>
      <c r="C8" s="5" t="inlineStr">
        <is>
          <t>Dynamic Programming &amp; SARSA</t>
        </is>
      </c>
      <c r="D8" s="5" t="inlineStr">
        <is>
          <t>Policy evaluation adjustments, temporal difference updates, on-policy testing rules</t>
        </is>
      </c>
      <c r="E8" s="5" t="inlineStr">
        <is>
          <t>To apply localized adjustments tracking errors without waiting for full runs.</t>
        </is>
      </c>
      <c r="F8" s="5" t="inlineStr">
        <is>
          <t>Trace on-policy value adjustments for localized state maps</t>
        </is>
      </c>
      <c r="G8" s="6">
        <f>HYPERLINK("https://huggingface.co/deep-rl-course/unit2/introduction", "Official Docs")</f>
        <v/>
      </c>
      <c r="H8" s="6">
        <f>HYPERLINK("https://www.youtube.com/watch?v=0g4j2k_GgcM", "Watch Video Course")</f>
        <v/>
      </c>
    </row>
    <row r="9" ht="42" customHeight="1">
      <c r="A9" s="7" t="inlineStr">
        <is>
          <t>Day 71</t>
        </is>
      </c>
      <c r="B9" s="8" t="inlineStr">
        <is>
          <t>Week 11</t>
        </is>
      </c>
      <c r="C9" s="9" t="inlineStr">
        <is>
          <t>Q-Learning Algorithm</t>
        </is>
      </c>
      <c r="D9" s="9" t="inlineStr">
        <is>
          <t>Off-policy optimization calculations, Q-Table update math rules, learning rates</t>
        </is>
      </c>
      <c r="E9" s="9" t="inlineStr">
        <is>
          <t>To map optimal value lookup indices completely using raw Python array steps.</t>
        </is>
      </c>
      <c r="F9" s="9" t="inlineStr">
        <is>
          <t>Program raw state-action Q-tables updating values per iteration</t>
        </is>
      </c>
      <c r="G9" s="10">
        <f>HYPERLINK("https://huggingface.co/deep-rl-course/unit2/q-learning", "Official Docs")</f>
        <v/>
      </c>
      <c r="H9" s="10">
        <f>HYPERLINK("https://www.youtube.com/watch?v=q2ZOEFAaaI0", "Watch Video Course")</f>
        <v/>
      </c>
    </row>
    <row r="10" ht="42" customHeight="1">
      <c r="A10" s="3" t="inlineStr">
        <is>
          <t>Day 72</t>
        </is>
      </c>
      <c r="B10" s="4" t="inlineStr">
        <is>
          <t>Week 11</t>
        </is>
      </c>
      <c r="C10" s="5" t="inlineStr">
        <is>
          <t>OpenAI Gym Integrations</t>
        </is>
      </c>
      <c r="D10" s="5" t="inlineStr">
        <is>
          <t>Environment spaces, action masking constraints, reward feedback integrations</t>
        </is>
      </c>
      <c r="E10" s="5" t="inlineStr">
        <is>
          <t>To test algorithmic control loops inside active text-based environments.</t>
        </is>
      </c>
      <c r="F10" s="5" t="inlineStr">
        <is>
          <t>Connect Python loop algorithms to active OpenAI Gym text environments</t>
        </is>
      </c>
      <c r="G10" s="6">
        <f>HYPERLINK("https://gymnasium.farama.org/", "Official Docs")</f>
        <v/>
      </c>
      <c r="H10" s="6">
        <f>HYPERLINK("https://www.youtube.com/watch?v=gMvdfvR699w", "Watch Video Course")</f>
        <v/>
      </c>
    </row>
    <row r="11" ht="42" customHeight="1">
      <c r="A11" s="7" t="inlineStr">
        <is>
          <t>Day 73</t>
        </is>
      </c>
      <c r="B11" s="8" t="inlineStr">
        <is>
          <t>Week 11</t>
        </is>
      </c>
      <c r="C11" s="11" t="inlineStr">
        <is>
          <t>Project: Autonomous Agent</t>
        </is>
      </c>
      <c r="D11" s="9" t="inlineStr">
        <is>
          <t>Q-table optimization loops, convergence testing, monitoring action records</t>
        </is>
      </c>
      <c r="E11" s="9" t="inlineStr">
        <is>
          <t>To train and watch an agent converge upon an optimal movement policy path safely.</t>
        </is>
      </c>
      <c r="F11" s="11" t="inlineStr">
        <is>
          <t>Project: Code a Autonomous Agent Navigating Traps via Q-Table</t>
        </is>
      </c>
      <c r="G11" s="10">
        <f>HYPERLINK("https://huggingface.co/deep-rl-course/unit2/project", "Official Docs")</f>
        <v/>
      </c>
      <c r="H11" s="10">
        <f>HYPERLINK("https://www.youtube.com/playlist?list=PLQY2H8rRoyvzoUYIq_xoGZ6UduivK5w7r", "Watch Video Course")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55" customWidth="1" min="4" max="4"/>
    <col width="55" customWidth="1" min="5" max="5"/>
    <col width="55" customWidth="1" min="6" max="6"/>
    <col width="27" customWidth="1" min="7" max="7"/>
    <col width="21" customWidth="1" min="8" max="8"/>
  </cols>
  <sheetData>
    <row r="1" ht="40" customHeight="1">
      <c r="A1" s="1" t="inlineStr">
        <is>
          <t>Neural Networks, Computer Vision CNN Topologies, Sequential LSTMs &amp; PyTorch Core Algorithms (Days 74 - 82)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Thematic Architecture / Algorithm</t>
        </is>
      </c>
      <c r="D3" s="2" t="inlineStr">
        <is>
          <t>Mathematical Formulations &amp; Block Designs</t>
        </is>
      </c>
      <c r="E3" s="2" t="inlineStr">
        <is>
          <t>Purpose (Why Learn This Algorithm?)</t>
        </is>
      </c>
      <c r="F3" s="2" t="inlineStr">
        <is>
          <t>PyTorch Framework Step / Practical Lab</t>
        </is>
      </c>
      <c r="G3" s="2" t="inlineStr">
        <is>
          <t>Framework Reference Link</t>
        </is>
      </c>
      <c r="H3" s="2" t="inlineStr">
        <is>
          <t>YouTube Link</t>
        </is>
      </c>
    </row>
    <row r="4" ht="42" customHeight="1">
      <c r="A4" s="3" t="inlineStr">
        <is>
          <t>Day 74</t>
        </is>
      </c>
      <c r="B4" s="4" t="inlineStr">
        <is>
          <t>Week 12</t>
        </is>
      </c>
      <c r="C4" s="5" t="inlineStr">
        <is>
          <t>Foundations: Perceptrons &amp; MLPs</t>
        </is>
      </c>
      <c r="D4" s="5" t="inlineStr">
        <is>
          <t>Multi-Layer Perceptron (MLP), artificial dense nodes, weighted sums, forward propagation matrix math, linear constraints limits</t>
        </is>
      </c>
      <c r="E4" s="5" t="inlineStr">
        <is>
          <t>To construct basic linear combination networks that form the core structural rows of deep networks.</t>
        </is>
      </c>
      <c r="F4" s="5" t="inlineStr">
        <is>
          <t>Construct single logical perceptrons tracking weights manually via PyTorch tensors</t>
        </is>
      </c>
      <c r="G4" s="6">
        <f>HYPERLINK("https://pytorch.org/tutorials/beginner/basics/intro.html", "Official Reference")</f>
        <v/>
      </c>
      <c r="H4" s="6">
        <f>HYPERLINK("https://www.youtube.com/playlist?list=PLAqhIrjkxbuWI23v9cThsA9GvCAUhFf6o", "Watch Algorithm Course")</f>
        <v/>
      </c>
    </row>
    <row r="5" ht="42" customHeight="1">
      <c r="A5" s="7" t="inlineStr">
        <is>
          <t>Day 75</t>
        </is>
      </c>
      <c r="B5" s="8" t="inlineStr">
        <is>
          <t>Week 12</t>
        </is>
      </c>
      <c r="C5" s="9" t="inlineStr">
        <is>
          <t>Foundations: Activations &amp; Backprop</t>
        </is>
      </c>
      <c r="D5" s="9" t="inlineStr">
        <is>
          <t>Non-linear activations (ReLU, Sigmoid, Softmax equations), partial derivatives calculus, multivariable Chain Rule error mapping</t>
        </is>
      </c>
      <c r="E5" s="9" t="inlineStr">
        <is>
          <t>To break linear alignment bottlenecks, calculating weight gradient deltas systematically backwards across network layers.</t>
        </is>
      </c>
      <c r="F5" s="9" t="inlineStr">
        <is>
          <t>Plot derivative gradients for common activations and trace automated tensor autograd steps</t>
        </is>
      </c>
      <c r="G5" s="10">
        <f>HYPERLINK("https://pytorch.org/tutorials/beginner/blitz/autograd_tutorial.html", "Official Reference")</f>
        <v/>
      </c>
      <c r="H5" s="10">
        <f>HYPERLINK("https://www.youtube.com/watch?v=VMj-3S1tku0", "Watch Algorithm Course")</f>
        <v/>
      </c>
    </row>
    <row r="6" ht="42" customHeight="1">
      <c r="A6" s="3" t="inlineStr">
        <is>
          <t>Day 76</t>
        </is>
      </c>
      <c r="B6" s="4" t="inlineStr">
        <is>
          <t>Week 12</t>
        </is>
      </c>
      <c r="C6" s="5" t="inlineStr">
        <is>
          <t>Foundations: Loss &amp; Adam Optimizers</t>
        </is>
      </c>
      <c r="D6" s="5" t="inlineStr">
        <is>
          <t>Cross-entropy loss metric formula, MSE functions, Adam optimizers (momentum tracking, dynamic adaptive step changes)</t>
        </is>
      </c>
      <c r="E6" s="5" t="inlineStr">
        <is>
          <t>To manage dynamic adjustment loops that update network weights based on running loss residues.</t>
        </is>
      </c>
      <c r="F6" s="5" t="inlineStr">
        <is>
          <t>Write raw PyTorch optimization loops adjusting parameter matrices using custom criteria functions</t>
        </is>
      </c>
      <c r="G6" s="6">
        <f>HYPERLINK("https://pytorch.org/docs/stable/optim.html", "Official Reference")</f>
        <v/>
      </c>
      <c r="H6" s="6">
        <f>HYPERLINK("https://www.youtube.com/watch?v=V_xro1bcAuA", "Watch Algorithm Course")</f>
        <v/>
      </c>
    </row>
    <row r="7" ht="42" customHeight="1">
      <c r="A7" s="7" t="inlineStr">
        <is>
          <t>Day 77</t>
        </is>
      </c>
      <c r="B7" s="8" t="inlineStr">
        <is>
          <t>Week 12</t>
        </is>
      </c>
      <c r="C7" s="11" t="inlineStr">
        <is>
          <t>Project: PyTorch Multi-Class Classifier</t>
        </is>
      </c>
      <c r="D7" s="9" t="inlineStr">
        <is>
          <t>Structuring nn.Module objects, forward pass methods, custom Dataset loader classes, mini-batch management (DataLoader)</t>
        </is>
      </c>
      <c r="E7" s="9" t="inlineStr">
        <is>
          <t>To pack dense network blocks and mini-batch pipelines into scalable object models.</t>
        </is>
      </c>
      <c r="F7" s="11" t="inlineStr">
        <is>
          <t>Project: Code and Train a Multi-Layer Perceptron using PyTorch over numeric tabular datasets</t>
        </is>
      </c>
      <c r="G7" s="10">
        <f>HYPERLINK("https://pytorch.org/tutorials/beginner/basics/buildmodel_tutorial.html", "Official Reference")</f>
        <v/>
      </c>
      <c r="H7" s="10">
        <f>HYPERLINK("https://www.youtube.com/watch?v=V_xro1bcAuA", "Watch Algorithm Course")</f>
        <v/>
      </c>
    </row>
    <row r="8" ht="42" customHeight="1">
      <c r="A8" s="3" t="inlineStr">
        <is>
          <t>Day 78</t>
        </is>
      </c>
      <c r="B8" s="4" t="inlineStr">
        <is>
          <t>Week 13</t>
        </is>
      </c>
      <c r="C8" s="5" t="inlineStr">
        <is>
          <t>Computer Vision: Baseline CNNs</t>
        </is>
      </c>
      <c r="D8" s="5" t="inlineStr">
        <is>
          <t>2D Convolution operations, sliding matrix kernel filters, feature extraction grids, spatial channel mappings, stride and padding logic</t>
        </is>
      </c>
      <c r="E8" s="5" t="inlineStr">
        <is>
          <t>To process digital vision matrices programmatically without stripping vital spatial pixel proximity features.</t>
        </is>
      </c>
      <c r="F8" s="5" t="inlineStr">
        <is>
          <t>Manually compute visual grid feature maps passing across kernel filters using PyTorch blocks</t>
        </is>
      </c>
      <c r="G8" s="6">
        <f>HYPERLINK("https://pytorch.org/docs/stable/generated/torch.nn.Conv2d.html", "Official Reference")</f>
        <v/>
      </c>
      <c r="H8" s="6">
        <f>HYPERLINK("https://www.youtube.com/watch?v=V_xro1bcAuA", "Watch Algorithm Course")</f>
        <v/>
      </c>
    </row>
    <row r="9" ht="42" customHeight="1">
      <c r="A9" s="7" t="inlineStr">
        <is>
          <t>Day 79</t>
        </is>
      </c>
      <c r="B9" s="8" t="inlineStr">
        <is>
          <t>Week 13</t>
        </is>
      </c>
      <c r="C9" s="9" t="inlineStr">
        <is>
          <t>Computer Vision: Max Pooling Networks</t>
        </is>
      </c>
      <c r="D9" s="9" t="inlineStr">
        <is>
          <t>Max pooling metrics, stride subsampling, feature contraction maps, stacking Conv-Pooling blocks hierarchically</t>
        </is>
      </c>
      <c r="E9" s="9" t="inlineStr">
        <is>
          <t>To downsample feature maps, extracting key invariant metrics while cutting parameter counts to prevent overfit.</t>
        </is>
      </c>
      <c r="F9" s="9" t="inlineStr">
        <is>
          <t>Assemble a functional structural convolutional neural network (CNN) architecture inside nn.Module</t>
        </is>
      </c>
      <c r="G9" s="10">
        <f>HYPERLINK("https://pytorch.org/docs/stable/nn.html#convolution-layers", "Official Reference")</f>
        <v/>
      </c>
      <c r="H9" s="10">
        <f>HYPERLINK("https://www.youtube.com/watch?v=V_xro1bcAuA", "Watch Algorithm Course")</f>
        <v/>
      </c>
    </row>
    <row r="10" ht="42" customHeight="1">
      <c r="A10" s="3" t="inlineStr">
        <is>
          <t>Day 80</t>
        </is>
      </c>
      <c r="B10" s="4" t="inlineStr">
        <is>
          <t>Week 13</t>
        </is>
      </c>
      <c r="C10" s="5" t="inlineStr">
        <is>
          <t>Computer Vision: ResNet Topologies</t>
        </is>
      </c>
      <c r="D10" s="5" t="inlineStr">
        <is>
          <t>Residual connection shortcut bypass routes, skip connections logic, deep network vanishing gradients mitigation</t>
        </is>
      </c>
      <c r="E10" s="5" t="inlineStr">
        <is>
          <t>To bypass deep convolution nodes directly, curing vanishing gradients and enabling stable ultra-deep model training.</t>
        </is>
      </c>
      <c r="F10" s="5" t="inlineStr">
        <is>
          <t>Build residual skip-connection code layers routing inputs directly around standard blocks</t>
        </is>
      </c>
      <c r="G10" s="6">
        <f>HYPERLINK("https://pytorch.org/vision/stable/models.html", "Official Reference")</f>
        <v/>
      </c>
      <c r="H10" s="6">
        <f>HYPERLINK("https://www.youtube.com/watch?v=V_xro1bcAuA", "Watch Algorithm Course")</f>
        <v/>
      </c>
    </row>
    <row r="11" ht="42" customHeight="1">
      <c r="A11" s="7" t="inlineStr">
        <is>
          <t>Day 81</t>
        </is>
      </c>
      <c r="B11" s="8" t="inlineStr">
        <is>
          <t>Week 13</t>
        </is>
      </c>
      <c r="C11" s="11" t="inlineStr">
        <is>
          <t>Project: Vision Transfer Learning</t>
        </is>
      </c>
      <c r="D11" s="9" t="inlineStr">
        <is>
          <t>Pretrained classification backbones loading, freezing feature layers weights, matching custom output target classification heads</t>
        </is>
      </c>
      <c r="E11" s="9" t="inlineStr">
        <is>
          <t>To repurpose visual feature extractions learned from massive image datasets to achieve accurate custom tasks quickly.</t>
        </is>
      </c>
      <c r="F11" s="11" t="inlineStr">
        <is>
          <t>Project: Deploy Custom PyTorch ResNet Model on Color Image Datasets utilizing image transforms</t>
        </is>
      </c>
      <c r="G11" s="10">
        <f>HYPERLINK("https://pytorch.org/tutorials/beginner/transfer_learning_tutorial.html", "Official Reference")</f>
        <v/>
      </c>
      <c r="H11" s="10">
        <f>HYPERLINK("https://www.youtube.com/watch?v=V_xro1bcAuA", "Watch Algorithm Course")</f>
        <v/>
      </c>
    </row>
    <row r="12" ht="42" customHeight="1">
      <c r="A12" s="3" t="inlineStr">
        <is>
          <t>Day 82</t>
        </is>
      </c>
      <c r="B12" s="4" t="inlineStr">
        <is>
          <t>Week 14</t>
        </is>
      </c>
      <c r="C12" s="11" t="inlineStr">
        <is>
          <t>Project: Sequence Prediction</t>
        </is>
      </c>
      <c r="D12" s="5" t="inlineStr">
        <is>
          <t>Bi-directional layers, embedding layers, unpacking variable sequence runs</t>
        </is>
      </c>
      <c r="E12" s="5" t="inlineStr">
        <is>
          <t>To construct sequential architectures forecasting narrative patterns.</t>
        </is>
      </c>
      <c r="F12" s="11" t="inlineStr">
        <is>
          <t>Project: Build Deep LSTM Network to Predict Context Text Streams</t>
        </is>
      </c>
      <c r="G12" s="6">
        <f>HYPERLINK("https://pytorch.org/tutorials/beginner/nlp/sequence_models_tutorial.html", "Official Reference")</f>
        <v/>
      </c>
      <c r="H12" s="6">
        <f>HYPERLINK("https://www.youtube.com/playlist?list=PLAqhIrjkxbuWI23v9cThsA9GvCAUhFf6o", "Watch Algorithm Course")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55" customWidth="1" min="4" max="4"/>
    <col width="55" customWidth="1" min="5" max="5"/>
    <col width="55" customWidth="1" min="6" max="6"/>
    <col width="21" customWidth="1" min="7" max="7"/>
    <col width="21" customWidth="1" min="8" max="8"/>
  </cols>
  <sheetData>
    <row r="1" ht="40" customHeight="1">
      <c r="A1" s="1" t="inlineStr">
        <is>
          <t>Generative AI Engineering, RAG Systems, API Services &amp; Container Deployments (Days 83 - 96)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Transformer Models &amp; Production Tooling</t>
        </is>
      </c>
      <c r="E3" s="2" t="inlineStr">
        <is>
          <t>Purpose (Why Learn This?)</t>
        </is>
      </c>
      <c r="F3" s="2" t="inlineStr">
        <is>
          <t>GenAI Implementation Deliverable</t>
        </is>
      </c>
      <c r="G3" s="2" t="inlineStr">
        <is>
          <t>Ecosystem Doc Link</t>
        </is>
      </c>
      <c r="H3" s="2" t="inlineStr">
        <is>
          <t>YouTube Link</t>
        </is>
      </c>
    </row>
    <row r="4" ht="42" customHeight="1">
      <c r="A4" s="3" t="inlineStr">
        <is>
          <t>Day 83</t>
        </is>
      </c>
      <c r="B4" s="4" t="inlineStr">
        <is>
          <t>Week 15</t>
        </is>
      </c>
      <c r="C4" s="5" t="inlineStr">
        <is>
          <t>The Attention Mechanism</t>
        </is>
      </c>
      <c r="D4" s="5" t="inlineStr">
        <is>
          <t>Sequence-to-sequence tracking limits, Scaled Dot-Product Attention calculations</t>
        </is>
      </c>
      <c r="E4" s="5" t="inlineStr">
        <is>
          <t>To determine vector dependencies dynamically via dot-product weights.</t>
        </is>
      </c>
      <c r="F4" s="5" t="inlineStr">
        <is>
          <t>Compute matrix self-attention weights over token arrays by hand</t>
        </is>
      </c>
      <c r="G4" s="6">
        <f>HYPERLINK("https://huggingface.co/learn/nlp-course/chapter1/1", "Official Docs")</f>
        <v/>
      </c>
      <c r="H4" s="6">
        <f>HYPERLINK("https://www.youtube.com/watch?v=kCc8FmEb1nY", "Watch Video Course")</f>
        <v/>
      </c>
    </row>
    <row r="5" ht="42" customHeight="1">
      <c r="A5" s="7" t="inlineStr">
        <is>
          <t>Day 84</t>
        </is>
      </c>
      <c r="B5" s="8" t="inlineStr">
        <is>
          <t>Week 15</t>
        </is>
      </c>
      <c r="C5" s="9" t="inlineStr">
        <is>
          <t>Transformer Structural Layout</t>
        </is>
      </c>
      <c r="D5" s="9" t="inlineStr">
        <is>
          <t>Multi-head attention paths, positional vector matrices, complete Encoder-Decoder grids</t>
        </is>
      </c>
      <c r="E5" s="9" t="inlineStr">
        <is>
          <t>To chain attention loops with positional layers to track context.</t>
        </is>
      </c>
      <c r="F5" s="9" t="inlineStr">
        <is>
          <t>Track tensor dimension changes across multi-head sequence runs</t>
        </is>
      </c>
      <c r="G5" s="10">
        <f>HYPERLINK("https://huggingface.co/learn/nlp-course/chapter1/2", "Official Docs")</f>
        <v/>
      </c>
      <c r="H5" s="10">
        <f>HYPERLINK("https://www.youtube.com/watch?v=kCc8FmEb1nY", "Watch Video Course")</f>
        <v/>
      </c>
    </row>
    <row r="6" ht="42" customHeight="1">
      <c r="A6" s="3" t="inlineStr">
        <is>
          <t>Day 85</t>
        </is>
      </c>
      <c r="B6" s="4" t="inlineStr">
        <is>
          <t>Week 15</t>
        </is>
      </c>
      <c r="C6" s="5" t="inlineStr">
        <is>
          <t>BERT vs GPT Models</t>
        </is>
      </c>
      <c r="D6" s="5" t="inlineStr">
        <is>
          <t>Masked language models vs causal text generation models, decoding workflows</t>
        </is>
      </c>
      <c r="E6" s="5" t="inlineStr">
        <is>
          <t>To compare bidirectional context lookup modeling with autoregressive causal text generation.</t>
        </is>
      </c>
      <c r="F6" s="5" t="inlineStr">
        <is>
          <t>Contrast encoder-heavy structures with autoregressive predictive blocks</t>
        </is>
      </c>
      <c r="G6" s="6">
        <f>HYPERLINK("https://huggingface.co/learn/nlp-course/chapter1/3", "Official Docs")</f>
        <v/>
      </c>
      <c r="H6" s="6">
        <f>HYPERLINK("https://www.youtube.com/watch?v=kCc8FmEb1nY", "Watch Video Course")</f>
        <v/>
      </c>
    </row>
    <row r="7" ht="42" customHeight="1">
      <c r="A7" s="7" t="inlineStr">
        <is>
          <t>Day 86</t>
        </is>
      </c>
      <c r="B7" s="8" t="inlineStr">
        <is>
          <t>Week 15</t>
        </is>
      </c>
      <c r="C7" s="9" t="inlineStr">
        <is>
          <t>The Hugging Face Hub</t>
        </is>
      </c>
      <c r="D7" s="9" t="inlineStr">
        <is>
          <t>Pipeline interfaces, pre-trained sequence tokenizers, loading model hubs</t>
        </is>
      </c>
      <c r="E7" s="9" t="inlineStr">
        <is>
          <t>To ingest pretrained systems and load automated sequence tokenizers quickly.</t>
        </is>
      </c>
      <c r="F7" s="9" t="inlineStr">
        <is>
          <t>Execute modular text inference tasks utilizing Hugging Face API pipelines</t>
        </is>
      </c>
      <c r="G7" s="10">
        <f>HYPERLINK("https://huggingface.co/docs/transformers/index", "Official Docs")</f>
        <v/>
      </c>
      <c r="H7" s="10">
        <f>HYPERLINK("https://www.youtube.com/watch?v=tcqEUSNCn8I", "Watch Video Course")</f>
        <v/>
      </c>
    </row>
    <row r="8" ht="42" customHeight="1">
      <c r="A8" s="3" t="inlineStr">
        <is>
          <t>Day 87</t>
        </is>
      </c>
      <c r="B8" s="4" t="inlineStr">
        <is>
          <t>Week 15</t>
        </is>
      </c>
      <c r="C8" s="11" t="inlineStr">
        <is>
          <t>Project: Model Fine-Tuning</t>
        </is>
      </c>
      <c r="D8" s="5" t="inlineStr">
        <is>
          <t>Data loading for texts, parameter training flags, monitoring model evaluation loops</t>
        </is>
      </c>
      <c r="E8" s="5" t="inlineStr">
        <is>
          <t>To optimize pre-trained weights to handle specialized classification text columns.</t>
        </is>
      </c>
      <c r="F8" s="11" t="inlineStr">
        <is>
          <t>Project: Fine-Tune BERT Sequence Classification Models on Text Fields</t>
        </is>
      </c>
      <c r="G8" s="6">
        <f>HYPERLINK("https://huggingface.co/docs/transformers/training", "Official Docs")</f>
        <v/>
      </c>
      <c r="H8" s="6">
        <f>HYPERLINK("https://www.youtube.com/watch?v=tcqEUSNCn8I", "Watch Video Course")</f>
        <v/>
      </c>
    </row>
    <row r="9" ht="42" customHeight="1">
      <c r="A9" s="7" t="inlineStr">
        <is>
          <t>Day 88</t>
        </is>
      </c>
      <c r="B9" s="8" t="inlineStr">
        <is>
          <t>Week 16</t>
        </is>
      </c>
      <c r="C9" s="9" t="inlineStr">
        <is>
          <t>Large Language Models</t>
        </is>
      </c>
      <c r="D9" s="9" t="inlineStr">
        <is>
          <t>Foundation model capabilities, context windows, tokenization processing economics</t>
        </is>
      </c>
      <c r="E9" s="9" t="inlineStr">
        <is>
          <t>To configure prompt architectures while staying inside token cost windows.</t>
        </is>
      </c>
      <c r="F9" s="9" t="inlineStr">
        <is>
          <t>Construct prompt systems optimized to extract clean values from records</t>
        </is>
      </c>
      <c r="G9" s="10">
        <f>HYPERLINK("https://www.deeplearning.ai/short-courses/", "Official Docs")</f>
        <v/>
      </c>
      <c r="H9" s="10">
        <f>HYPERLINK("https://www.youtube.com/watch?v=tcqEUSNCn8I", "Watch Video Course")</f>
        <v/>
      </c>
    </row>
    <row r="10" ht="42" customHeight="1">
      <c r="A10" s="3" t="inlineStr">
        <is>
          <t>Day 89</t>
        </is>
      </c>
      <c r="B10" s="4" t="inlineStr">
        <is>
          <t>Week 16</t>
        </is>
      </c>
      <c r="C10" s="5" t="inlineStr">
        <is>
          <t>Prompt Optimization Patterns</t>
        </is>
      </c>
      <c r="D10" s="5" t="inlineStr">
        <is>
          <t>Few-shot structure templates, Chain-of-Thought paths, system instruction boundaries</t>
        </is>
      </c>
      <c r="E10" s="5" t="inlineStr">
        <is>
          <t>To force language net layers into producing stable structured dictionary records.</t>
        </is>
      </c>
      <c r="F10" s="5" t="inlineStr">
        <is>
          <t>Build self-correcting prompt instructions generating strict structured output maps</t>
        </is>
      </c>
      <c r="G10" s="6">
        <f>HYPERLINK("https://www.deeplearning.ai/short-courses/", "Official Docs")</f>
        <v/>
      </c>
      <c r="H10" s="6">
        <f>HYPERLINK("https://www.youtube.com/watch?v=tcqEUSNCn8I", "Watch Video Course")</f>
        <v/>
      </c>
    </row>
    <row r="11" ht="42" customHeight="1">
      <c r="A11" s="7" t="inlineStr">
        <is>
          <t>Day 90</t>
        </is>
      </c>
      <c r="B11" s="8" t="inlineStr">
        <is>
          <t>Week 16</t>
        </is>
      </c>
      <c r="C11" s="9" t="inlineStr">
        <is>
          <t>Retrieval-Augmented Generation</t>
        </is>
      </c>
      <c r="D11" s="9" t="inlineStr">
        <is>
          <t>RAG structures, chunking long documents, overlap rules, text matching targets</t>
        </is>
      </c>
      <c r="E11" s="9" t="inlineStr">
        <is>
          <t>To cut large context items down to anchor model generation securely.</t>
        </is>
      </c>
      <c r="F11" s="9" t="inlineStr">
        <is>
          <t>Build structural python functions text-splitting target reference documents</t>
        </is>
      </c>
      <c r="G11" s="10">
        <f>HYPERLINK("https://www.deeplearning.ai/short-courses/", "Official Docs")</f>
        <v/>
      </c>
      <c r="H11" s="10">
        <f>HYPERLINK("https://www.youtube.com/watch?v=tcqEUSNCn8I", "Watch Video Course")</f>
        <v/>
      </c>
    </row>
    <row r="12" ht="42" customHeight="1">
      <c r="A12" s="3" t="inlineStr">
        <is>
          <t>Day 91</t>
        </is>
      </c>
      <c r="B12" s="4" t="inlineStr">
        <is>
          <t>Week 16</t>
        </is>
      </c>
      <c r="C12" s="5" t="inlineStr">
        <is>
          <t>Vector Databases</t>
        </is>
      </c>
      <c r="D12" s="5" t="inlineStr">
        <is>
          <t>Embedding generations, database systems (ChromaDB/FAISS), semantic search calculations</t>
        </is>
      </c>
      <c r="E12" s="5" t="inlineStr">
        <is>
          <t>To save continuous sentence embeddings and execute semantic nearest-neighbor searches.</t>
        </is>
      </c>
      <c r="F12" s="5" t="inlineStr">
        <is>
          <t>Embed and ingest document sections into persistent vector collection spaces</t>
        </is>
      </c>
      <c r="G12" s="6">
        <f>HYPERLINK("https://docs.trychroma.com/", "Official Docs")</f>
        <v/>
      </c>
      <c r="H12" s="6">
        <f>HYPERLINK("https://www.youtube.com/watch?v=tcqEUSNCn8I", "Watch Video Course")</f>
        <v/>
      </c>
    </row>
    <row r="13" ht="42" customHeight="1">
      <c r="A13" s="7" t="inlineStr">
        <is>
          <t>Day 92</t>
        </is>
      </c>
      <c r="B13" s="8" t="inlineStr">
        <is>
          <t>Week 16</t>
        </is>
      </c>
      <c r="C13" s="11" t="inlineStr">
        <is>
          <t>Project: Local RAG Pipeline</t>
        </is>
      </c>
      <c r="D13" s="9" t="inlineStr">
        <is>
          <t>Document indexing tools, prompt injection templates, data contextual inputs</t>
        </is>
      </c>
      <c r="E13" s="9" t="inlineStr">
        <is>
          <t>To safely answer queries referencing localized text document stores without data leaks.</t>
        </is>
      </c>
      <c r="F13" s="11" t="inlineStr">
        <is>
          <t>Project: Build Complete RAG Application Extracting Private Documents</t>
        </is>
      </c>
      <c r="G13" s="10">
        <f>HYPERLINK("https://docs.trychroma.com/usage-guide", "Official Docs")</f>
        <v/>
      </c>
      <c r="H13" s="10">
        <f>HYPERLINK("https://www.youtube.com/watch?v=tcqEUSNCn8I", "Watch Video Course")</f>
        <v/>
      </c>
    </row>
    <row r="14" ht="42" customHeight="1">
      <c r="A14" s="3" t="inlineStr">
        <is>
          <t>Day 93</t>
        </is>
      </c>
      <c r="B14" s="4" t="inlineStr">
        <is>
          <t>Week 17</t>
        </is>
      </c>
      <c r="C14" s="5" t="inlineStr">
        <is>
          <t>FastAPI Service Construction</t>
        </is>
      </c>
      <c r="D14" s="5" t="inlineStr">
        <is>
          <t>REST API architecture, routing URL requests, payload validations via Pydantic templates</t>
        </is>
      </c>
      <c r="E14" s="5" t="inlineStr">
        <is>
          <t>To deploy model predictions as highly scale-uniform backend REST endpoints.</t>
        </is>
      </c>
      <c r="F14" s="5" t="inlineStr">
        <is>
          <t>Deploy machine learning inference functions via FastAPI endpoints</t>
        </is>
      </c>
      <c r="G14" s="6">
        <f>HYPERLINK("https://fastapi.tiangolo.com/", "Official Docs")</f>
        <v/>
      </c>
      <c r="H14" s="6">
        <f>HYPERLINK("https://www.youtube.com/playlist?list=PLqnslRFeH2UqLwzS0Q1sR6eqf63lhX0i4", "Watch Video Course")</f>
        <v/>
      </c>
    </row>
    <row r="15" ht="42" customHeight="1">
      <c r="A15" s="7" t="inlineStr">
        <is>
          <t>Day 94</t>
        </is>
      </c>
      <c r="B15" s="8" t="inlineStr">
        <is>
          <t>Week 17</t>
        </is>
      </c>
      <c r="C15" s="9" t="inlineStr">
        <is>
          <t>Streamlit UI Components</t>
        </is>
      </c>
      <c r="D15" s="9" t="inlineStr">
        <is>
          <t>Interactive front-ends, state tracking managers, chat window widget items</t>
        </is>
      </c>
      <c r="E15" s="9" t="inlineStr">
        <is>
          <t>To package data inputs into fully interactive chat window frontends rapidly.</t>
        </is>
      </c>
      <c r="F15" s="9" t="inlineStr">
        <is>
          <t>Build responsive analytical dashboard tools linking to microservice backends</t>
        </is>
      </c>
      <c r="G15" s="10">
        <f>HYPERLINK("https://docs.streamlit.io/", "Official Docs")</f>
        <v/>
      </c>
      <c r="H15" s="10">
        <f>HYPERLINK("https://www.youtube.com/playlist?list=PLqnslRFeH2UqLwzS0Q1sR6eqf63lhX0i4", "Watch Video Course")</f>
        <v/>
      </c>
    </row>
    <row r="16" ht="42" customHeight="1">
      <c r="A16" s="3" t="inlineStr">
        <is>
          <t>Day 95</t>
        </is>
      </c>
      <c r="B16" s="4" t="inlineStr">
        <is>
          <t>Week 17</t>
        </is>
      </c>
      <c r="C16" s="5" t="inlineStr">
        <is>
          <t>Docker Containerization</t>
        </is>
      </c>
      <c r="D16" s="5" t="inlineStr">
        <is>
          <t>Docker architectures, structural environment encapsulation, configuring base `Dockerfile` rules</t>
        </is>
      </c>
      <c r="E16" s="5" t="inlineStr">
        <is>
          <t>To isolate script dependencies, building scale-uniform deployments easily.</t>
        </is>
      </c>
      <c r="F16" s="5" t="inlineStr">
        <is>
          <t>Package model processing tools inside isolated container images</t>
        </is>
      </c>
      <c r="G16" s="6">
        <f>HYPERLINK("https://docs.docker.com/", "Official Docs")</f>
        <v/>
      </c>
      <c r="H16" s="6">
        <f>HYPERLINK("https://www.youtube.com/watch?v=tcqEUSNCn8I", "Watch Video Course")</f>
        <v/>
      </c>
    </row>
    <row r="17" ht="42" customHeight="1">
      <c r="A17" s="7" t="inlineStr">
        <is>
          <t>Day 96</t>
        </is>
      </c>
      <c r="B17" s="8" t="inlineStr">
        <is>
          <t>Week 17</t>
        </is>
      </c>
      <c r="C17" s="11" t="inlineStr">
        <is>
          <t>Grand Capstone Project Execution</t>
        </is>
      </c>
      <c r="D17" s="9" t="inlineStr">
        <is>
          <t>End-to-end service wiring, container networking rules, parsing target logs</t>
        </is>
      </c>
      <c r="E17" s="9" t="inlineStr">
        <is>
          <t>To combine backend endpoints, front-ends, and vector lookups into multi-container networks.</t>
        </is>
      </c>
      <c r="F17" s="11" t="inlineStr">
        <is>
          <t>Capstone: Package, Containerize, and Run Local Knowledge RAG Application</t>
        </is>
      </c>
      <c r="G17" s="10">
        <f>HYPERLINK("https://fastapi.tiangolo.com/deployment/docker/", "Official Docs")</f>
        <v/>
      </c>
      <c r="H17" s="10">
        <f>HYPERLINK("https://www.youtube.com/watch?v=tcqEUSNCn8I", "Watch Video Course")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2026-06-08T06:23:37Z</dcterms:created>
  <dcterms:modified xmlns:dcterms="http://purl.org/dc/terms/" xmlns:xsi="http://www.w3.org/2001/XMLSchema-instance" xsi:type="dcterms:W3CDTF">2026-06-08T06:23:37Z</dcterms:modified>
</cp:coreProperties>
</file>